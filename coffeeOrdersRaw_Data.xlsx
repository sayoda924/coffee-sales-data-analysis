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Mohamed Elsherrry\Downloads\"/>
    </mc:Choice>
  </mc:AlternateContent>
  <xr:revisionPtr revIDLastSave="0" documentId="13_ncr:1_{ED14D1C3-05DA-476A-A798-BD6B98B84AC5}" xr6:coauthVersionLast="47" xr6:coauthVersionMax="47" xr10:uidLastSave="{00000000-0000-0000-0000-000000000000}"/>
  <bookViews>
    <workbookView xWindow="-108" yWindow="-108" windowWidth="23256" windowHeight="12576" xr2:uid="{00000000-000D-0000-FFFF-FFFF00000000}"/>
  </bookViews>
  <sheets>
    <sheet name="DashBoard" sheetId="23" r:id="rId1"/>
    <sheet name="Total sales" sheetId="18" r:id="rId2"/>
    <sheet name="Country BarChart" sheetId="19" r:id="rId3"/>
    <sheet name="Top 5"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Roast_Type_full_name">#N/A</definedName>
    <definedName name="Slicer_Royalty_card">#N/A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2" i="17"/>
  <c r="O41" i="17"/>
  <c r="O78" i="17"/>
  <c r="O169" i="17"/>
  <c r="O206" i="17"/>
  <c r="O297" i="17"/>
  <c r="O334" i="17"/>
  <c r="O402" i="17"/>
  <c r="O466" i="17"/>
  <c r="O522" i="17"/>
  <c r="O545" i="17"/>
  <c r="O554" i="17"/>
  <c r="O577" i="17"/>
  <c r="O586" i="17"/>
  <c r="O609" i="17"/>
  <c r="O618" i="17"/>
  <c r="O641" i="17"/>
  <c r="O650" i="17"/>
  <c r="O673" i="17"/>
  <c r="O682" i="17"/>
  <c r="O705" i="17"/>
  <c r="O714" i="17"/>
  <c r="O737" i="17"/>
  <c r="O746" i="17"/>
  <c r="O769" i="17"/>
  <c r="O778" i="17"/>
  <c r="O801" i="17"/>
  <c r="O810" i="17"/>
  <c r="O833" i="17"/>
  <c r="O842" i="17"/>
  <c r="O865" i="17"/>
  <c r="O874" i="17"/>
  <c r="O897" i="17"/>
  <c r="O906" i="17"/>
  <c r="O929" i="17"/>
  <c r="O938" i="17"/>
  <c r="O961" i="17"/>
  <c r="O970" i="17"/>
  <c r="O993" i="17"/>
  <c r="O2" i="17"/>
  <c r="N34" i="17"/>
  <c r="N38" i="17"/>
  <c r="N49" i="17"/>
  <c r="N66" i="17"/>
  <c r="N70" i="17"/>
  <c r="N81" i="17"/>
  <c r="N98" i="17"/>
  <c r="N102" i="17"/>
  <c r="N113" i="17"/>
  <c r="N130" i="17"/>
  <c r="N134" i="17"/>
  <c r="N143" i="17"/>
  <c r="N151" i="17"/>
  <c r="N159" i="17"/>
  <c r="N167" i="17"/>
  <c r="N175" i="17"/>
  <c r="N183" i="17"/>
  <c r="N191" i="17"/>
  <c r="N199" i="17"/>
  <c r="N207" i="17"/>
  <c r="N215" i="17"/>
  <c r="N223" i="17"/>
  <c r="N231" i="17"/>
  <c r="N239" i="17"/>
  <c r="N247" i="17"/>
  <c r="N255" i="17"/>
  <c r="N263" i="17"/>
  <c r="N271" i="17"/>
  <c r="N279" i="17"/>
  <c r="N287" i="17"/>
  <c r="N295" i="17"/>
  <c r="N303" i="17"/>
  <c r="N311" i="17"/>
  <c r="N319" i="17"/>
  <c r="N327" i="17"/>
  <c r="N335" i="17"/>
  <c r="N343" i="17"/>
  <c r="N351" i="17"/>
  <c r="N359" i="17"/>
  <c r="N367" i="17"/>
  <c r="N375" i="17"/>
  <c r="N383" i="17"/>
  <c r="N391" i="17"/>
  <c r="N399" i="17"/>
  <c r="N407" i="17"/>
  <c r="N415" i="17"/>
  <c r="N423" i="17"/>
  <c r="N431" i="17"/>
  <c r="N439" i="17"/>
  <c r="N447" i="17"/>
  <c r="N455" i="17"/>
  <c r="N463" i="17"/>
  <c r="N471" i="17"/>
  <c r="N479" i="17"/>
  <c r="N487" i="17"/>
  <c r="N495" i="17"/>
  <c r="N503" i="17"/>
  <c r="N511" i="17"/>
  <c r="N519" i="17"/>
  <c r="N527" i="17"/>
  <c r="N535" i="17"/>
  <c r="N543" i="17"/>
  <c r="N551" i="17"/>
  <c r="N559" i="17"/>
  <c r="N567" i="17"/>
  <c r="N575" i="17"/>
  <c r="N583" i="17"/>
  <c r="N591" i="17"/>
  <c r="N599" i="17"/>
  <c r="N607" i="17"/>
  <c r="N615" i="17"/>
  <c r="N623" i="17"/>
  <c r="N631" i="17"/>
  <c r="N639" i="17"/>
  <c r="N647" i="17"/>
  <c r="N655" i="17"/>
  <c r="N663" i="17"/>
  <c r="N671" i="17"/>
  <c r="N679" i="17"/>
  <c r="N687" i="17"/>
  <c r="N695" i="17"/>
  <c r="N703" i="17"/>
  <c r="N711" i="17"/>
  <c r="N719" i="17"/>
  <c r="N727" i="17"/>
  <c r="N735" i="17"/>
  <c r="N743" i="17"/>
  <c r="N751" i="17"/>
  <c r="N759" i="17"/>
  <c r="N767" i="17"/>
  <c r="N775" i="17"/>
  <c r="N783" i="17"/>
  <c r="N791" i="17"/>
  <c r="N799" i="17"/>
  <c r="N807" i="17"/>
  <c r="N815" i="17"/>
  <c r="N823" i="17"/>
  <c r="N831" i="17"/>
  <c r="N839" i="17"/>
  <c r="N847" i="17"/>
  <c r="N855" i="17"/>
  <c r="N863" i="17"/>
  <c r="N871" i="17"/>
  <c r="N879" i="17"/>
  <c r="N887" i="17"/>
  <c r="N895" i="17"/>
  <c r="N903" i="17"/>
  <c r="N911" i="17"/>
  <c r="N919" i="17"/>
  <c r="N927" i="17"/>
  <c r="N935" i="17"/>
  <c r="N943" i="17"/>
  <c r="N951" i="17"/>
  <c r="N959" i="17"/>
  <c r="N967" i="17"/>
  <c r="N975" i="17"/>
  <c r="N983" i="17"/>
  <c r="N991" i="17"/>
  <c r="N999" i="17"/>
  <c r="M4" i="17"/>
  <c r="M7" i="17"/>
  <c r="M12" i="17"/>
  <c r="M15" i="17"/>
  <c r="M20" i="17"/>
  <c r="M23" i="17"/>
  <c r="M28" i="17"/>
  <c r="M31" i="17"/>
  <c r="M36" i="17"/>
  <c r="M39" i="17"/>
  <c r="M44" i="17"/>
  <c r="M47" i="17"/>
  <c r="M52" i="17"/>
  <c r="M55" i="17"/>
  <c r="M60" i="17"/>
  <c r="M63" i="17"/>
  <c r="M68" i="17"/>
  <c r="M71" i="17"/>
  <c r="M76" i="17"/>
  <c r="M79" i="17"/>
  <c r="M84" i="17"/>
  <c r="M87" i="17"/>
  <c r="M92" i="17"/>
  <c r="M95" i="17"/>
  <c r="M100" i="17"/>
  <c r="M103" i="17"/>
  <c r="M108" i="17"/>
  <c r="M111" i="17"/>
  <c r="M116" i="17"/>
  <c r="M119" i="17"/>
  <c r="M124" i="17"/>
  <c r="M127" i="17"/>
  <c r="M132" i="17"/>
  <c r="M135" i="17"/>
  <c r="M140" i="17"/>
  <c r="M143" i="17"/>
  <c r="M148" i="17"/>
  <c r="M151" i="17"/>
  <c r="M156" i="17"/>
  <c r="M159" i="17"/>
  <c r="M164" i="17"/>
  <c r="M167" i="17"/>
  <c r="M172" i="17"/>
  <c r="M175" i="17"/>
  <c r="M180" i="17"/>
  <c r="M183" i="17"/>
  <c r="M188" i="17"/>
  <c r="M191" i="17"/>
  <c r="M196" i="17"/>
  <c r="M199" i="17"/>
  <c r="M204" i="17"/>
  <c r="M207" i="17"/>
  <c r="M212" i="17"/>
  <c r="M215" i="17"/>
  <c r="M220" i="17"/>
  <c r="M223" i="17"/>
  <c r="M228" i="17"/>
  <c r="M231" i="17"/>
  <c r="M236" i="17"/>
  <c r="M239" i="17"/>
  <c r="M244" i="17"/>
  <c r="M258" i="17"/>
  <c r="M274" i="17"/>
  <c r="M290" i="17"/>
  <c r="M306" i="17"/>
  <c r="M322" i="17"/>
  <c r="M338" i="17"/>
  <c r="M354" i="17"/>
  <c r="M370" i="17"/>
  <c r="M386" i="17"/>
  <c r="M402" i="17"/>
  <c r="M418" i="17"/>
  <c r="M434" i="17"/>
  <c r="M450" i="17"/>
  <c r="M461" i="17"/>
  <c r="M469" i="17"/>
  <c r="M477" i="17"/>
  <c r="M485" i="17"/>
  <c r="M493" i="17"/>
  <c r="M501" i="17"/>
  <c r="M509" i="17"/>
  <c r="M517" i="17"/>
  <c r="M525" i="17"/>
  <c r="M533" i="17"/>
  <c r="M541" i="17"/>
  <c r="M549" i="17"/>
  <c r="M557" i="17"/>
  <c r="M565" i="17"/>
  <c r="M573" i="17"/>
  <c r="M581" i="17"/>
  <c r="M589" i="17"/>
  <c r="M597" i="17"/>
  <c r="M605" i="17"/>
  <c r="M613" i="17"/>
  <c r="M621" i="17"/>
  <c r="M629" i="17"/>
  <c r="M637" i="17"/>
  <c r="M645" i="17"/>
  <c r="M653" i="17"/>
  <c r="M661" i="17"/>
  <c r="M669" i="17"/>
  <c r="M677" i="17"/>
  <c r="M685" i="17"/>
  <c r="M693" i="17"/>
  <c r="M701" i="17"/>
  <c r="M709" i="17"/>
  <c r="M717" i="17"/>
  <c r="M725" i="17"/>
  <c r="M733" i="17"/>
  <c r="M741" i="17"/>
  <c r="M749" i="17"/>
  <c r="M757" i="17"/>
  <c r="M765" i="17"/>
  <c r="M773" i="17"/>
  <c r="M781" i="17"/>
  <c r="M789" i="17"/>
  <c r="M797" i="17"/>
  <c r="M805" i="17"/>
  <c r="M813" i="17"/>
  <c r="M821" i="17"/>
  <c r="M829" i="17"/>
  <c r="M837" i="17"/>
  <c r="M845" i="17"/>
  <c r="M853" i="17"/>
  <c r="M861" i="17"/>
  <c r="M869" i="17"/>
  <c r="M877" i="17"/>
  <c r="M885" i="17"/>
  <c r="M893" i="17"/>
  <c r="M901" i="17"/>
  <c r="M909" i="17"/>
  <c r="M917" i="17"/>
  <c r="M925" i="17"/>
  <c r="M933" i="17"/>
  <c r="M941" i="17"/>
  <c r="M949" i="17"/>
  <c r="M957" i="17"/>
  <c r="M965" i="17"/>
  <c r="M973" i="17"/>
  <c r="M981" i="17"/>
  <c r="M989" i="17"/>
  <c r="M997" i="17"/>
  <c r="L3" i="17"/>
  <c r="M3" i="17" s="1"/>
  <c r="L4" i="17"/>
  <c r="L5" i="17"/>
  <c r="M5" i="17" s="1"/>
  <c r="L6" i="17"/>
  <c r="M6" i="17" s="1"/>
  <c r="L7" i="17"/>
  <c r="L8" i="17"/>
  <c r="M8" i="17" s="1"/>
  <c r="L9" i="17"/>
  <c r="M9" i="17" s="1"/>
  <c r="L10" i="17"/>
  <c r="M10" i="17" s="1"/>
  <c r="L11" i="17"/>
  <c r="M11" i="17" s="1"/>
  <c r="L12" i="17"/>
  <c r="L13" i="17"/>
  <c r="M13" i="17" s="1"/>
  <c r="L14" i="17"/>
  <c r="M14" i="17" s="1"/>
  <c r="L15" i="17"/>
  <c r="L16" i="17"/>
  <c r="M16" i="17" s="1"/>
  <c r="L17" i="17"/>
  <c r="M17" i="17" s="1"/>
  <c r="L18" i="17"/>
  <c r="M18" i="17" s="1"/>
  <c r="L19" i="17"/>
  <c r="M19" i="17" s="1"/>
  <c r="L20" i="17"/>
  <c r="L21" i="17"/>
  <c r="M21" i="17" s="1"/>
  <c r="L22" i="17"/>
  <c r="M22" i="17" s="1"/>
  <c r="L23" i="17"/>
  <c r="L24" i="17"/>
  <c r="M24" i="17" s="1"/>
  <c r="L25" i="17"/>
  <c r="M25" i="17" s="1"/>
  <c r="L26" i="17"/>
  <c r="M26" i="17" s="1"/>
  <c r="L27" i="17"/>
  <c r="M27" i="17" s="1"/>
  <c r="L28" i="17"/>
  <c r="L29" i="17"/>
  <c r="M29" i="17" s="1"/>
  <c r="L30" i="17"/>
  <c r="M30" i="17" s="1"/>
  <c r="L31" i="17"/>
  <c r="L32" i="17"/>
  <c r="M32" i="17" s="1"/>
  <c r="L33" i="17"/>
  <c r="M33" i="17" s="1"/>
  <c r="L34" i="17"/>
  <c r="M34" i="17" s="1"/>
  <c r="L35" i="17"/>
  <c r="M35" i="17" s="1"/>
  <c r="L36" i="17"/>
  <c r="L37" i="17"/>
  <c r="M37" i="17" s="1"/>
  <c r="L38" i="17"/>
  <c r="M38" i="17" s="1"/>
  <c r="L39" i="17"/>
  <c r="L40" i="17"/>
  <c r="M40" i="17" s="1"/>
  <c r="L41" i="17"/>
  <c r="M41" i="17" s="1"/>
  <c r="L42" i="17"/>
  <c r="M42" i="17" s="1"/>
  <c r="L43" i="17"/>
  <c r="M43" i="17" s="1"/>
  <c r="L44" i="17"/>
  <c r="L45" i="17"/>
  <c r="M45" i="17" s="1"/>
  <c r="L46" i="17"/>
  <c r="M46" i="17" s="1"/>
  <c r="L47" i="17"/>
  <c r="L48" i="17"/>
  <c r="M48" i="17" s="1"/>
  <c r="L49" i="17"/>
  <c r="M49" i="17" s="1"/>
  <c r="L50" i="17"/>
  <c r="M50" i="17" s="1"/>
  <c r="L51" i="17"/>
  <c r="M51" i="17" s="1"/>
  <c r="L52" i="17"/>
  <c r="L53" i="17"/>
  <c r="M53" i="17" s="1"/>
  <c r="L54" i="17"/>
  <c r="M54" i="17" s="1"/>
  <c r="L55" i="17"/>
  <c r="L56" i="17"/>
  <c r="M56" i="17" s="1"/>
  <c r="L57" i="17"/>
  <c r="M57" i="17" s="1"/>
  <c r="L58" i="17"/>
  <c r="M58" i="17" s="1"/>
  <c r="L59" i="17"/>
  <c r="M59" i="17" s="1"/>
  <c r="L60" i="17"/>
  <c r="L61" i="17"/>
  <c r="M61" i="17" s="1"/>
  <c r="L62" i="17"/>
  <c r="M62" i="17" s="1"/>
  <c r="L63" i="17"/>
  <c r="L64" i="17"/>
  <c r="M64" i="17" s="1"/>
  <c r="L65" i="17"/>
  <c r="M65" i="17" s="1"/>
  <c r="L66" i="17"/>
  <c r="M66" i="17" s="1"/>
  <c r="L67" i="17"/>
  <c r="M67" i="17" s="1"/>
  <c r="L68" i="17"/>
  <c r="L69" i="17"/>
  <c r="M69" i="17" s="1"/>
  <c r="L70" i="17"/>
  <c r="M70" i="17" s="1"/>
  <c r="L71" i="17"/>
  <c r="L72" i="17"/>
  <c r="M72" i="17" s="1"/>
  <c r="L73" i="17"/>
  <c r="M73" i="17" s="1"/>
  <c r="L74" i="17"/>
  <c r="M74" i="17" s="1"/>
  <c r="L75" i="17"/>
  <c r="M75" i="17" s="1"/>
  <c r="L76" i="17"/>
  <c r="L77" i="17"/>
  <c r="M77" i="17" s="1"/>
  <c r="L78" i="17"/>
  <c r="M78" i="17" s="1"/>
  <c r="L79" i="17"/>
  <c r="L80" i="17"/>
  <c r="M80" i="17" s="1"/>
  <c r="L81" i="17"/>
  <c r="M81" i="17" s="1"/>
  <c r="L82" i="17"/>
  <c r="M82" i="17" s="1"/>
  <c r="L83" i="17"/>
  <c r="M83" i="17" s="1"/>
  <c r="L84" i="17"/>
  <c r="L85" i="17"/>
  <c r="M85" i="17" s="1"/>
  <c r="L86" i="17"/>
  <c r="M86" i="17" s="1"/>
  <c r="L87" i="17"/>
  <c r="L88" i="17"/>
  <c r="M88" i="17" s="1"/>
  <c r="L89" i="17"/>
  <c r="M89" i="17" s="1"/>
  <c r="L90" i="17"/>
  <c r="M90" i="17" s="1"/>
  <c r="L91" i="17"/>
  <c r="M91" i="17" s="1"/>
  <c r="L92" i="17"/>
  <c r="L93" i="17"/>
  <c r="M93" i="17" s="1"/>
  <c r="L94" i="17"/>
  <c r="M94" i="17" s="1"/>
  <c r="L95" i="17"/>
  <c r="L96" i="17"/>
  <c r="M96" i="17" s="1"/>
  <c r="L97" i="17"/>
  <c r="M97" i="17" s="1"/>
  <c r="L98" i="17"/>
  <c r="M98" i="17" s="1"/>
  <c r="L99" i="17"/>
  <c r="M99" i="17" s="1"/>
  <c r="L100" i="17"/>
  <c r="L101" i="17"/>
  <c r="M101" i="17" s="1"/>
  <c r="L102" i="17"/>
  <c r="M102" i="17" s="1"/>
  <c r="L103" i="17"/>
  <c r="L104" i="17"/>
  <c r="M104" i="17" s="1"/>
  <c r="L105" i="17"/>
  <c r="M105" i="17" s="1"/>
  <c r="L106" i="17"/>
  <c r="M106" i="17" s="1"/>
  <c r="L107" i="17"/>
  <c r="M107" i="17" s="1"/>
  <c r="L108" i="17"/>
  <c r="L109" i="17"/>
  <c r="M109" i="17" s="1"/>
  <c r="L110" i="17"/>
  <c r="M110" i="17" s="1"/>
  <c r="L111" i="17"/>
  <c r="L112" i="17"/>
  <c r="M112" i="17" s="1"/>
  <c r="L113" i="17"/>
  <c r="M113" i="17" s="1"/>
  <c r="L114" i="17"/>
  <c r="M114" i="17" s="1"/>
  <c r="L115" i="17"/>
  <c r="M115" i="17" s="1"/>
  <c r="L116" i="17"/>
  <c r="L117" i="17"/>
  <c r="M117" i="17" s="1"/>
  <c r="L118" i="17"/>
  <c r="M118" i="17" s="1"/>
  <c r="L119" i="17"/>
  <c r="L120" i="17"/>
  <c r="M120" i="17" s="1"/>
  <c r="L121" i="17"/>
  <c r="M121" i="17" s="1"/>
  <c r="L122" i="17"/>
  <c r="M122" i="17" s="1"/>
  <c r="L123" i="17"/>
  <c r="M123" i="17" s="1"/>
  <c r="L124" i="17"/>
  <c r="L125" i="17"/>
  <c r="M125" i="17" s="1"/>
  <c r="L126" i="17"/>
  <c r="M126" i="17" s="1"/>
  <c r="L127" i="17"/>
  <c r="L128" i="17"/>
  <c r="M128" i="17" s="1"/>
  <c r="L129" i="17"/>
  <c r="M129" i="17" s="1"/>
  <c r="L130" i="17"/>
  <c r="M130" i="17" s="1"/>
  <c r="L131" i="17"/>
  <c r="M131" i="17" s="1"/>
  <c r="L132" i="17"/>
  <c r="L133" i="17"/>
  <c r="M133" i="17" s="1"/>
  <c r="L134" i="17"/>
  <c r="M134" i="17" s="1"/>
  <c r="L135" i="17"/>
  <c r="L136" i="17"/>
  <c r="M136" i="17" s="1"/>
  <c r="L137" i="17"/>
  <c r="M137" i="17" s="1"/>
  <c r="L138" i="17"/>
  <c r="M138" i="17" s="1"/>
  <c r="L139" i="17"/>
  <c r="M139" i="17" s="1"/>
  <c r="L140" i="17"/>
  <c r="L141" i="17"/>
  <c r="M141" i="17" s="1"/>
  <c r="L142" i="17"/>
  <c r="M142" i="17" s="1"/>
  <c r="L143" i="17"/>
  <c r="L144" i="17"/>
  <c r="M144" i="17" s="1"/>
  <c r="L145" i="17"/>
  <c r="M145" i="17" s="1"/>
  <c r="L146" i="17"/>
  <c r="M146" i="17" s="1"/>
  <c r="L147" i="17"/>
  <c r="M147" i="17" s="1"/>
  <c r="L148" i="17"/>
  <c r="L149" i="17"/>
  <c r="M149" i="17" s="1"/>
  <c r="L150" i="17"/>
  <c r="M150" i="17" s="1"/>
  <c r="L151" i="17"/>
  <c r="L152" i="17"/>
  <c r="M152" i="17" s="1"/>
  <c r="L153" i="17"/>
  <c r="M153" i="17" s="1"/>
  <c r="L154" i="17"/>
  <c r="M154" i="17" s="1"/>
  <c r="L155" i="17"/>
  <c r="M155" i="17" s="1"/>
  <c r="L156" i="17"/>
  <c r="L157" i="17"/>
  <c r="M157" i="17" s="1"/>
  <c r="L158" i="17"/>
  <c r="M158" i="17" s="1"/>
  <c r="L159" i="17"/>
  <c r="L160" i="17"/>
  <c r="M160" i="17" s="1"/>
  <c r="L161" i="17"/>
  <c r="M161" i="17" s="1"/>
  <c r="L162" i="17"/>
  <c r="M162" i="17" s="1"/>
  <c r="L163" i="17"/>
  <c r="M163" i="17" s="1"/>
  <c r="L164" i="17"/>
  <c r="L165" i="17"/>
  <c r="M165" i="17" s="1"/>
  <c r="L166" i="17"/>
  <c r="M166" i="17" s="1"/>
  <c r="L167" i="17"/>
  <c r="L168" i="17"/>
  <c r="M168" i="17" s="1"/>
  <c r="L169" i="17"/>
  <c r="M169" i="17" s="1"/>
  <c r="L170" i="17"/>
  <c r="M170" i="17" s="1"/>
  <c r="L171" i="17"/>
  <c r="M171" i="17" s="1"/>
  <c r="L172" i="17"/>
  <c r="L173" i="17"/>
  <c r="M173" i="17" s="1"/>
  <c r="L174" i="17"/>
  <c r="M174" i="17" s="1"/>
  <c r="L175" i="17"/>
  <c r="L176" i="17"/>
  <c r="M176" i="17" s="1"/>
  <c r="L177" i="17"/>
  <c r="M177" i="17" s="1"/>
  <c r="L178" i="17"/>
  <c r="M178" i="17" s="1"/>
  <c r="L179" i="17"/>
  <c r="M179" i="17" s="1"/>
  <c r="L180" i="17"/>
  <c r="L181" i="17"/>
  <c r="M181" i="17" s="1"/>
  <c r="L182" i="17"/>
  <c r="M182" i="17" s="1"/>
  <c r="L183" i="17"/>
  <c r="L184" i="17"/>
  <c r="M184" i="17" s="1"/>
  <c r="L185" i="17"/>
  <c r="M185" i="17" s="1"/>
  <c r="L186" i="17"/>
  <c r="M186" i="17" s="1"/>
  <c r="L187" i="17"/>
  <c r="M187" i="17" s="1"/>
  <c r="L188" i="17"/>
  <c r="L189" i="17"/>
  <c r="M189" i="17" s="1"/>
  <c r="L190" i="17"/>
  <c r="M190" i="17" s="1"/>
  <c r="L191" i="17"/>
  <c r="L192" i="17"/>
  <c r="M192" i="17" s="1"/>
  <c r="L193" i="17"/>
  <c r="M193" i="17" s="1"/>
  <c r="L194" i="17"/>
  <c r="M194" i="17" s="1"/>
  <c r="L195" i="17"/>
  <c r="M195" i="17" s="1"/>
  <c r="L196" i="17"/>
  <c r="L197" i="17"/>
  <c r="M197" i="17" s="1"/>
  <c r="L198" i="17"/>
  <c r="M198" i="17" s="1"/>
  <c r="L199" i="17"/>
  <c r="L200" i="17"/>
  <c r="M200" i="17" s="1"/>
  <c r="L201" i="17"/>
  <c r="M201" i="17" s="1"/>
  <c r="L202" i="17"/>
  <c r="M202" i="17" s="1"/>
  <c r="L203" i="17"/>
  <c r="M203" i="17" s="1"/>
  <c r="L204" i="17"/>
  <c r="L205" i="17"/>
  <c r="M205" i="17" s="1"/>
  <c r="L206" i="17"/>
  <c r="M206" i="17" s="1"/>
  <c r="L207" i="17"/>
  <c r="L208" i="17"/>
  <c r="M208" i="17" s="1"/>
  <c r="L209" i="17"/>
  <c r="M209" i="17" s="1"/>
  <c r="L210" i="17"/>
  <c r="M210" i="17" s="1"/>
  <c r="L211" i="17"/>
  <c r="M211" i="17" s="1"/>
  <c r="L212" i="17"/>
  <c r="L213" i="17"/>
  <c r="M213" i="17" s="1"/>
  <c r="L214" i="17"/>
  <c r="M214" i="17" s="1"/>
  <c r="L215" i="17"/>
  <c r="L216" i="17"/>
  <c r="M216" i="17" s="1"/>
  <c r="L217" i="17"/>
  <c r="M217" i="17" s="1"/>
  <c r="L218" i="17"/>
  <c r="M218" i="17" s="1"/>
  <c r="L219" i="17"/>
  <c r="M219" i="17" s="1"/>
  <c r="L220" i="17"/>
  <c r="L221" i="17"/>
  <c r="M221" i="17" s="1"/>
  <c r="L222" i="17"/>
  <c r="M222" i="17" s="1"/>
  <c r="L223" i="17"/>
  <c r="L224" i="17"/>
  <c r="M224" i="17" s="1"/>
  <c r="L225" i="17"/>
  <c r="M225" i="17" s="1"/>
  <c r="L226" i="17"/>
  <c r="M226" i="17" s="1"/>
  <c r="L227" i="17"/>
  <c r="M227" i="17" s="1"/>
  <c r="L228" i="17"/>
  <c r="L229" i="17"/>
  <c r="M229" i="17" s="1"/>
  <c r="L230" i="17"/>
  <c r="M230" i="17" s="1"/>
  <c r="L231" i="17"/>
  <c r="L232" i="17"/>
  <c r="M232" i="17" s="1"/>
  <c r="L233" i="17"/>
  <c r="M233" i="17" s="1"/>
  <c r="L234" i="17"/>
  <c r="M234" i="17" s="1"/>
  <c r="L235" i="17"/>
  <c r="M235" i="17" s="1"/>
  <c r="L236" i="17"/>
  <c r="L237" i="17"/>
  <c r="M237" i="17" s="1"/>
  <c r="L238" i="17"/>
  <c r="M238" i="17" s="1"/>
  <c r="L239" i="17"/>
  <c r="L240" i="17"/>
  <c r="M240" i="17" s="1"/>
  <c r="L241" i="17"/>
  <c r="M241" i="17" s="1"/>
  <c r="L242" i="17"/>
  <c r="M242" i="17" s="1"/>
  <c r="L243" i="17"/>
  <c r="M243" i="17" s="1"/>
  <c r="L244" i="17"/>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L462" i="17"/>
  <c r="M462" i="17" s="1"/>
  <c r="L463" i="17"/>
  <c r="M463" i="17" s="1"/>
  <c r="L464" i="17"/>
  <c r="M464" i="17" s="1"/>
  <c r="L465" i="17"/>
  <c r="M465" i="17" s="1"/>
  <c r="L466" i="17"/>
  <c r="M466" i="17" s="1"/>
  <c r="L467" i="17"/>
  <c r="M467" i="17" s="1"/>
  <c r="L468" i="17"/>
  <c r="M468" i="17" s="1"/>
  <c r="L469" i="17"/>
  <c r="L470" i="17"/>
  <c r="M470" i="17" s="1"/>
  <c r="L471" i="17"/>
  <c r="M471" i="17" s="1"/>
  <c r="L472" i="17"/>
  <c r="M472" i="17" s="1"/>
  <c r="L473" i="17"/>
  <c r="M473" i="17" s="1"/>
  <c r="L474" i="17"/>
  <c r="M474" i="17" s="1"/>
  <c r="L475" i="17"/>
  <c r="M475" i="17" s="1"/>
  <c r="L476" i="17"/>
  <c r="M476" i="17" s="1"/>
  <c r="L477" i="17"/>
  <c r="L478" i="17"/>
  <c r="M478" i="17" s="1"/>
  <c r="L479" i="17"/>
  <c r="M479" i="17" s="1"/>
  <c r="L480" i="17"/>
  <c r="M480" i="17" s="1"/>
  <c r="L481" i="17"/>
  <c r="M481" i="17" s="1"/>
  <c r="L482" i="17"/>
  <c r="M482" i="17" s="1"/>
  <c r="L483" i="17"/>
  <c r="M483" i="17" s="1"/>
  <c r="L484" i="17"/>
  <c r="M484" i="17" s="1"/>
  <c r="L485" i="17"/>
  <c r="L486" i="17"/>
  <c r="M486" i="17" s="1"/>
  <c r="L487" i="17"/>
  <c r="M487" i="17" s="1"/>
  <c r="L488" i="17"/>
  <c r="M488" i="17" s="1"/>
  <c r="L489" i="17"/>
  <c r="M489" i="17" s="1"/>
  <c r="L490" i="17"/>
  <c r="M490" i="17" s="1"/>
  <c r="L491" i="17"/>
  <c r="M491" i="17" s="1"/>
  <c r="L492" i="17"/>
  <c r="M492" i="17" s="1"/>
  <c r="L493" i="17"/>
  <c r="L494" i="17"/>
  <c r="M494" i="17" s="1"/>
  <c r="L495" i="17"/>
  <c r="M495" i="17" s="1"/>
  <c r="L496" i="17"/>
  <c r="M496" i="17" s="1"/>
  <c r="L497" i="17"/>
  <c r="M497" i="17" s="1"/>
  <c r="L498" i="17"/>
  <c r="M498" i="17" s="1"/>
  <c r="L499" i="17"/>
  <c r="M499" i="17" s="1"/>
  <c r="L500" i="17"/>
  <c r="M500" i="17" s="1"/>
  <c r="L501" i="17"/>
  <c r="L502" i="17"/>
  <c r="M502" i="17" s="1"/>
  <c r="L503" i="17"/>
  <c r="M503" i="17" s="1"/>
  <c r="L504" i="17"/>
  <c r="M504" i="17" s="1"/>
  <c r="L505" i="17"/>
  <c r="M505" i="17" s="1"/>
  <c r="L506" i="17"/>
  <c r="M506" i="17" s="1"/>
  <c r="L507" i="17"/>
  <c r="M507" i="17" s="1"/>
  <c r="L508" i="17"/>
  <c r="M508" i="17" s="1"/>
  <c r="L509" i="17"/>
  <c r="L510" i="17"/>
  <c r="M510" i="17" s="1"/>
  <c r="L511" i="17"/>
  <c r="M511" i="17" s="1"/>
  <c r="L512" i="17"/>
  <c r="M512" i="17" s="1"/>
  <c r="L513" i="17"/>
  <c r="M513" i="17" s="1"/>
  <c r="L514" i="17"/>
  <c r="M514" i="17" s="1"/>
  <c r="L515" i="17"/>
  <c r="M515" i="17" s="1"/>
  <c r="L516" i="17"/>
  <c r="M516" i="17" s="1"/>
  <c r="L517" i="17"/>
  <c r="L518" i="17"/>
  <c r="M518" i="17" s="1"/>
  <c r="L519" i="17"/>
  <c r="M519" i="17" s="1"/>
  <c r="L520" i="17"/>
  <c r="M520" i="17" s="1"/>
  <c r="L521" i="17"/>
  <c r="M521" i="17" s="1"/>
  <c r="L522" i="17"/>
  <c r="M522" i="17" s="1"/>
  <c r="L523" i="17"/>
  <c r="M523" i="17" s="1"/>
  <c r="L524" i="17"/>
  <c r="M524" i="17" s="1"/>
  <c r="L525" i="17"/>
  <c r="L526" i="17"/>
  <c r="M526" i="17" s="1"/>
  <c r="L527" i="17"/>
  <c r="M527" i="17" s="1"/>
  <c r="L528" i="17"/>
  <c r="M528" i="17" s="1"/>
  <c r="L529" i="17"/>
  <c r="M529" i="17" s="1"/>
  <c r="L530" i="17"/>
  <c r="M530" i="17" s="1"/>
  <c r="L531" i="17"/>
  <c r="M531" i="17" s="1"/>
  <c r="L532" i="17"/>
  <c r="M532" i="17" s="1"/>
  <c r="L533" i="17"/>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L550" i="17"/>
  <c r="M550" i="17" s="1"/>
  <c r="L551" i="17"/>
  <c r="M551" i="17" s="1"/>
  <c r="L552" i="17"/>
  <c r="M552" i="17" s="1"/>
  <c r="L553" i="17"/>
  <c r="M553" i="17" s="1"/>
  <c r="L554" i="17"/>
  <c r="M554" i="17" s="1"/>
  <c r="L555" i="17"/>
  <c r="M555" i="17" s="1"/>
  <c r="L556" i="17"/>
  <c r="M556" i="17" s="1"/>
  <c r="L557" i="17"/>
  <c r="L558" i="17"/>
  <c r="M558" i="17" s="1"/>
  <c r="L559" i="17"/>
  <c r="M559" i="17" s="1"/>
  <c r="L560" i="17"/>
  <c r="M560" i="17" s="1"/>
  <c r="L561" i="17"/>
  <c r="M561" i="17" s="1"/>
  <c r="L562" i="17"/>
  <c r="M562" i="17" s="1"/>
  <c r="L563" i="17"/>
  <c r="M563" i="17" s="1"/>
  <c r="L564" i="17"/>
  <c r="M564" i="17" s="1"/>
  <c r="L565" i="17"/>
  <c r="L566" i="17"/>
  <c r="M566" i="17" s="1"/>
  <c r="L567" i="17"/>
  <c r="M567" i="17" s="1"/>
  <c r="L568" i="17"/>
  <c r="M568" i="17" s="1"/>
  <c r="L569" i="17"/>
  <c r="M569" i="17" s="1"/>
  <c r="L570" i="17"/>
  <c r="M570" i="17" s="1"/>
  <c r="L571" i="17"/>
  <c r="M571" i="17" s="1"/>
  <c r="L572" i="17"/>
  <c r="M572" i="17" s="1"/>
  <c r="L573" i="17"/>
  <c r="L574" i="17"/>
  <c r="M574" i="17" s="1"/>
  <c r="L575" i="17"/>
  <c r="M575" i="17" s="1"/>
  <c r="L576" i="17"/>
  <c r="M576" i="17" s="1"/>
  <c r="L577" i="17"/>
  <c r="M577" i="17" s="1"/>
  <c r="L578" i="17"/>
  <c r="M578" i="17" s="1"/>
  <c r="L579" i="17"/>
  <c r="M579" i="17" s="1"/>
  <c r="L580" i="17"/>
  <c r="M580" i="17" s="1"/>
  <c r="L581" i="17"/>
  <c r="L582" i="17"/>
  <c r="M582" i="17" s="1"/>
  <c r="L583" i="17"/>
  <c r="M583" i="17" s="1"/>
  <c r="L584" i="17"/>
  <c r="M584" i="17" s="1"/>
  <c r="L585" i="17"/>
  <c r="M585" i="17" s="1"/>
  <c r="L586" i="17"/>
  <c r="M586" i="17" s="1"/>
  <c r="L587" i="17"/>
  <c r="M587" i="17" s="1"/>
  <c r="L588" i="17"/>
  <c r="M588" i="17" s="1"/>
  <c r="L589" i="17"/>
  <c r="L590" i="17"/>
  <c r="M590" i="17" s="1"/>
  <c r="L591" i="17"/>
  <c r="M591" i="17" s="1"/>
  <c r="L592" i="17"/>
  <c r="M592" i="17" s="1"/>
  <c r="L593" i="17"/>
  <c r="M593" i="17" s="1"/>
  <c r="L594" i="17"/>
  <c r="M594" i="17" s="1"/>
  <c r="L595" i="17"/>
  <c r="M595" i="17" s="1"/>
  <c r="L596" i="17"/>
  <c r="M596" i="17" s="1"/>
  <c r="L597" i="17"/>
  <c r="L598" i="17"/>
  <c r="M598" i="17" s="1"/>
  <c r="L599" i="17"/>
  <c r="M599" i="17" s="1"/>
  <c r="L600" i="17"/>
  <c r="M600" i="17" s="1"/>
  <c r="L601" i="17"/>
  <c r="M601" i="17" s="1"/>
  <c r="L602" i="17"/>
  <c r="M602" i="17" s="1"/>
  <c r="L603" i="17"/>
  <c r="M603" i="17" s="1"/>
  <c r="L604" i="17"/>
  <c r="M604" i="17" s="1"/>
  <c r="L605" i="17"/>
  <c r="L606" i="17"/>
  <c r="M606" i="17" s="1"/>
  <c r="L607" i="17"/>
  <c r="M607" i="17" s="1"/>
  <c r="L608" i="17"/>
  <c r="M608" i="17" s="1"/>
  <c r="L609" i="17"/>
  <c r="M609" i="17" s="1"/>
  <c r="L610" i="17"/>
  <c r="M610" i="17" s="1"/>
  <c r="L611" i="17"/>
  <c r="M611" i="17" s="1"/>
  <c r="L612" i="17"/>
  <c r="M612" i="17" s="1"/>
  <c r="L613" i="17"/>
  <c r="L614" i="17"/>
  <c r="M614" i="17" s="1"/>
  <c r="L615" i="17"/>
  <c r="M615" i="17" s="1"/>
  <c r="L616" i="17"/>
  <c r="M616" i="17" s="1"/>
  <c r="L617" i="17"/>
  <c r="M617" i="17" s="1"/>
  <c r="L618" i="17"/>
  <c r="M618" i="17" s="1"/>
  <c r="L619" i="17"/>
  <c r="M619" i="17" s="1"/>
  <c r="L620" i="17"/>
  <c r="M620" i="17" s="1"/>
  <c r="L621" i="17"/>
  <c r="L622" i="17"/>
  <c r="M622" i="17" s="1"/>
  <c r="L623" i="17"/>
  <c r="M623" i="17" s="1"/>
  <c r="L624" i="17"/>
  <c r="M624" i="17" s="1"/>
  <c r="L625" i="17"/>
  <c r="M625" i="17" s="1"/>
  <c r="L626" i="17"/>
  <c r="M626" i="17" s="1"/>
  <c r="L627" i="17"/>
  <c r="M627" i="17" s="1"/>
  <c r="L628" i="17"/>
  <c r="M628" i="17" s="1"/>
  <c r="L629" i="17"/>
  <c r="L630" i="17"/>
  <c r="M630" i="17" s="1"/>
  <c r="L631" i="17"/>
  <c r="M631" i="17" s="1"/>
  <c r="L632" i="17"/>
  <c r="M632" i="17" s="1"/>
  <c r="L633" i="17"/>
  <c r="M633" i="17" s="1"/>
  <c r="L634" i="17"/>
  <c r="M634" i="17" s="1"/>
  <c r="L635" i="17"/>
  <c r="M635" i="17" s="1"/>
  <c r="L636" i="17"/>
  <c r="M636" i="17" s="1"/>
  <c r="L637" i="17"/>
  <c r="L638" i="17"/>
  <c r="M638" i="17" s="1"/>
  <c r="L639" i="17"/>
  <c r="M639" i="17" s="1"/>
  <c r="L640" i="17"/>
  <c r="M640" i="17" s="1"/>
  <c r="L641" i="17"/>
  <c r="M641" i="17" s="1"/>
  <c r="L642" i="17"/>
  <c r="M642" i="17" s="1"/>
  <c r="L643" i="17"/>
  <c r="M643" i="17" s="1"/>
  <c r="L644" i="17"/>
  <c r="M644" i="17" s="1"/>
  <c r="L645" i="17"/>
  <c r="L646" i="17"/>
  <c r="M646" i="17" s="1"/>
  <c r="L647" i="17"/>
  <c r="M647" i="17" s="1"/>
  <c r="L648" i="17"/>
  <c r="M648" i="17" s="1"/>
  <c r="L649" i="17"/>
  <c r="M649" i="17" s="1"/>
  <c r="L650" i="17"/>
  <c r="M650" i="17" s="1"/>
  <c r="L651" i="17"/>
  <c r="M651" i="17" s="1"/>
  <c r="L652" i="17"/>
  <c r="M652" i="17" s="1"/>
  <c r="L653" i="17"/>
  <c r="L654" i="17"/>
  <c r="M654" i="17" s="1"/>
  <c r="L655" i="17"/>
  <c r="M655" i="17" s="1"/>
  <c r="L656" i="17"/>
  <c r="M656" i="17" s="1"/>
  <c r="L657" i="17"/>
  <c r="M657" i="17" s="1"/>
  <c r="L658" i="17"/>
  <c r="M658" i="17" s="1"/>
  <c r="L659" i="17"/>
  <c r="M659" i="17" s="1"/>
  <c r="L660" i="17"/>
  <c r="M660" i="17" s="1"/>
  <c r="L661" i="17"/>
  <c r="L662" i="17"/>
  <c r="M662" i="17" s="1"/>
  <c r="L663" i="17"/>
  <c r="M663" i="17" s="1"/>
  <c r="L664" i="17"/>
  <c r="M664" i="17" s="1"/>
  <c r="L665" i="17"/>
  <c r="M665" i="17" s="1"/>
  <c r="L666" i="17"/>
  <c r="M666" i="17" s="1"/>
  <c r="L667" i="17"/>
  <c r="M667" i="17" s="1"/>
  <c r="L668" i="17"/>
  <c r="M668" i="17" s="1"/>
  <c r="L669" i="17"/>
  <c r="L670" i="17"/>
  <c r="M670" i="17" s="1"/>
  <c r="L671" i="17"/>
  <c r="M671" i="17" s="1"/>
  <c r="L672" i="17"/>
  <c r="M672" i="17" s="1"/>
  <c r="L673" i="17"/>
  <c r="M673" i="17" s="1"/>
  <c r="L674" i="17"/>
  <c r="M674" i="17" s="1"/>
  <c r="L675" i="17"/>
  <c r="M675" i="17" s="1"/>
  <c r="L676" i="17"/>
  <c r="M676" i="17" s="1"/>
  <c r="L677" i="17"/>
  <c r="L678" i="17"/>
  <c r="M678" i="17" s="1"/>
  <c r="L679" i="17"/>
  <c r="M679" i="17" s="1"/>
  <c r="L680" i="17"/>
  <c r="M680" i="17" s="1"/>
  <c r="L681" i="17"/>
  <c r="M681" i="17" s="1"/>
  <c r="L682" i="17"/>
  <c r="M682" i="17" s="1"/>
  <c r="L683" i="17"/>
  <c r="M683" i="17" s="1"/>
  <c r="L684" i="17"/>
  <c r="M684" i="17" s="1"/>
  <c r="L685" i="17"/>
  <c r="L686" i="17"/>
  <c r="M686" i="17" s="1"/>
  <c r="L687" i="17"/>
  <c r="M687" i="17" s="1"/>
  <c r="L688" i="17"/>
  <c r="M688" i="17" s="1"/>
  <c r="L689" i="17"/>
  <c r="M689" i="17" s="1"/>
  <c r="L690" i="17"/>
  <c r="M690" i="17" s="1"/>
  <c r="L691" i="17"/>
  <c r="M691" i="17" s="1"/>
  <c r="L692" i="17"/>
  <c r="M692" i="17" s="1"/>
  <c r="L693" i="17"/>
  <c r="L694" i="17"/>
  <c r="M694" i="17" s="1"/>
  <c r="L695" i="17"/>
  <c r="M695" i="17" s="1"/>
  <c r="L696" i="17"/>
  <c r="M696" i="17" s="1"/>
  <c r="L697" i="17"/>
  <c r="M697" i="17" s="1"/>
  <c r="L698" i="17"/>
  <c r="M698" i="17" s="1"/>
  <c r="L699" i="17"/>
  <c r="M699" i="17" s="1"/>
  <c r="L700" i="17"/>
  <c r="M700" i="17" s="1"/>
  <c r="L701" i="17"/>
  <c r="L702" i="17"/>
  <c r="M702" i="17" s="1"/>
  <c r="L703" i="17"/>
  <c r="M703" i="17" s="1"/>
  <c r="L704" i="17"/>
  <c r="M704" i="17" s="1"/>
  <c r="L705" i="17"/>
  <c r="M705" i="17" s="1"/>
  <c r="L706" i="17"/>
  <c r="M706" i="17" s="1"/>
  <c r="L707" i="17"/>
  <c r="M707" i="17" s="1"/>
  <c r="L708" i="17"/>
  <c r="M708" i="17" s="1"/>
  <c r="L709" i="17"/>
  <c r="L710" i="17"/>
  <c r="M710" i="17" s="1"/>
  <c r="L711" i="17"/>
  <c r="M711" i="17" s="1"/>
  <c r="L712" i="17"/>
  <c r="M712" i="17" s="1"/>
  <c r="L713" i="17"/>
  <c r="M713" i="17" s="1"/>
  <c r="L714" i="17"/>
  <c r="M714" i="17" s="1"/>
  <c r="L715" i="17"/>
  <c r="M715" i="17" s="1"/>
  <c r="L716" i="17"/>
  <c r="M716" i="17" s="1"/>
  <c r="L717" i="17"/>
  <c r="L718" i="17"/>
  <c r="M718" i="17" s="1"/>
  <c r="L719" i="17"/>
  <c r="M719" i="17" s="1"/>
  <c r="L720" i="17"/>
  <c r="M720" i="17" s="1"/>
  <c r="L721" i="17"/>
  <c r="M721" i="17" s="1"/>
  <c r="L722" i="17"/>
  <c r="M722" i="17" s="1"/>
  <c r="L723" i="17"/>
  <c r="M723" i="17" s="1"/>
  <c r="L724" i="17"/>
  <c r="M724" i="17" s="1"/>
  <c r="L725" i="17"/>
  <c r="L726" i="17"/>
  <c r="M726" i="17" s="1"/>
  <c r="L727" i="17"/>
  <c r="M727" i="17" s="1"/>
  <c r="L728" i="17"/>
  <c r="M728" i="17" s="1"/>
  <c r="L729" i="17"/>
  <c r="M729" i="17" s="1"/>
  <c r="L730" i="17"/>
  <c r="M730" i="17" s="1"/>
  <c r="L731" i="17"/>
  <c r="M731" i="17" s="1"/>
  <c r="L732" i="17"/>
  <c r="M732" i="17" s="1"/>
  <c r="L733" i="17"/>
  <c r="L734" i="17"/>
  <c r="M734" i="17" s="1"/>
  <c r="L735" i="17"/>
  <c r="M735" i="17" s="1"/>
  <c r="L736" i="17"/>
  <c r="M736" i="17" s="1"/>
  <c r="L737" i="17"/>
  <c r="M737" i="17" s="1"/>
  <c r="L738" i="17"/>
  <c r="M738" i="17" s="1"/>
  <c r="L739" i="17"/>
  <c r="M739" i="17" s="1"/>
  <c r="L740" i="17"/>
  <c r="M740" i="17" s="1"/>
  <c r="L741" i="17"/>
  <c r="L742" i="17"/>
  <c r="M742" i="17" s="1"/>
  <c r="L743" i="17"/>
  <c r="M743" i="17" s="1"/>
  <c r="L744" i="17"/>
  <c r="M744" i="17" s="1"/>
  <c r="L745" i="17"/>
  <c r="M745" i="17" s="1"/>
  <c r="L746" i="17"/>
  <c r="M746" i="17" s="1"/>
  <c r="L747" i="17"/>
  <c r="M747" i="17" s="1"/>
  <c r="L748" i="17"/>
  <c r="M748" i="17" s="1"/>
  <c r="L749" i="17"/>
  <c r="L750" i="17"/>
  <c r="M750" i="17" s="1"/>
  <c r="L751" i="17"/>
  <c r="M751" i="17" s="1"/>
  <c r="L752" i="17"/>
  <c r="M752" i="17" s="1"/>
  <c r="L753" i="17"/>
  <c r="M753" i="17" s="1"/>
  <c r="L754" i="17"/>
  <c r="M754" i="17" s="1"/>
  <c r="L755" i="17"/>
  <c r="M755" i="17" s="1"/>
  <c r="L756" i="17"/>
  <c r="M756" i="17" s="1"/>
  <c r="L757" i="17"/>
  <c r="L758" i="17"/>
  <c r="M758" i="17" s="1"/>
  <c r="L759" i="17"/>
  <c r="M759" i="17" s="1"/>
  <c r="L760" i="17"/>
  <c r="M760" i="17" s="1"/>
  <c r="L761" i="17"/>
  <c r="M761" i="17" s="1"/>
  <c r="L762" i="17"/>
  <c r="M762" i="17" s="1"/>
  <c r="L763" i="17"/>
  <c r="M763" i="17" s="1"/>
  <c r="L764" i="17"/>
  <c r="M764" i="17" s="1"/>
  <c r="L765" i="17"/>
  <c r="L766" i="17"/>
  <c r="M766" i="17" s="1"/>
  <c r="L767" i="17"/>
  <c r="M767" i="17" s="1"/>
  <c r="L768" i="17"/>
  <c r="M768" i="17" s="1"/>
  <c r="L769" i="17"/>
  <c r="M769" i="17" s="1"/>
  <c r="L770" i="17"/>
  <c r="M770" i="17" s="1"/>
  <c r="L771" i="17"/>
  <c r="M771" i="17" s="1"/>
  <c r="L772" i="17"/>
  <c r="M772" i="17" s="1"/>
  <c r="L773" i="17"/>
  <c r="L774" i="17"/>
  <c r="M774" i="17" s="1"/>
  <c r="L775" i="17"/>
  <c r="M775" i="17" s="1"/>
  <c r="L776" i="17"/>
  <c r="M776" i="17" s="1"/>
  <c r="L777" i="17"/>
  <c r="M777" i="17" s="1"/>
  <c r="L778" i="17"/>
  <c r="M778" i="17" s="1"/>
  <c r="L779" i="17"/>
  <c r="M779" i="17" s="1"/>
  <c r="L780" i="17"/>
  <c r="M780" i="17" s="1"/>
  <c r="L781" i="17"/>
  <c r="L782" i="17"/>
  <c r="M782" i="17" s="1"/>
  <c r="L783" i="17"/>
  <c r="M783" i="17" s="1"/>
  <c r="L784" i="17"/>
  <c r="M784" i="17" s="1"/>
  <c r="L785" i="17"/>
  <c r="M785" i="17" s="1"/>
  <c r="L786" i="17"/>
  <c r="M786" i="17" s="1"/>
  <c r="L787" i="17"/>
  <c r="M787" i="17" s="1"/>
  <c r="L788" i="17"/>
  <c r="M788" i="17" s="1"/>
  <c r="L789" i="17"/>
  <c r="L790" i="17"/>
  <c r="M790" i="17" s="1"/>
  <c r="L791" i="17"/>
  <c r="M791" i="17" s="1"/>
  <c r="L792" i="17"/>
  <c r="M792" i="17" s="1"/>
  <c r="L793" i="17"/>
  <c r="M793" i="17" s="1"/>
  <c r="L794" i="17"/>
  <c r="M794" i="17" s="1"/>
  <c r="L795" i="17"/>
  <c r="M795" i="17" s="1"/>
  <c r="L796" i="17"/>
  <c r="M796" i="17" s="1"/>
  <c r="L797" i="17"/>
  <c r="L798" i="17"/>
  <c r="M798" i="17" s="1"/>
  <c r="L799" i="17"/>
  <c r="M799" i="17" s="1"/>
  <c r="L800" i="17"/>
  <c r="M800" i="17" s="1"/>
  <c r="L801" i="17"/>
  <c r="M801" i="17" s="1"/>
  <c r="L802" i="17"/>
  <c r="M802" i="17" s="1"/>
  <c r="L803" i="17"/>
  <c r="M803" i="17" s="1"/>
  <c r="L804" i="17"/>
  <c r="M804" i="17" s="1"/>
  <c r="L805" i="17"/>
  <c r="L806" i="17"/>
  <c r="M806" i="17" s="1"/>
  <c r="L807" i="17"/>
  <c r="M807" i="17" s="1"/>
  <c r="L808" i="17"/>
  <c r="M808" i="17" s="1"/>
  <c r="L809" i="17"/>
  <c r="M809" i="17" s="1"/>
  <c r="L810" i="17"/>
  <c r="M810" i="17" s="1"/>
  <c r="L811" i="17"/>
  <c r="M811" i="17" s="1"/>
  <c r="L812" i="17"/>
  <c r="M812" i="17" s="1"/>
  <c r="L813" i="17"/>
  <c r="L814" i="17"/>
  <c r="M814" i="17" s="1"/>
  <c r="L815" i="17"/>
  <c r="M815" i="17" s="1"/>
  <c r="L816" i="17"/>
  <c r="M816" i="17" s="1"/>
  <c r="L817" i="17"/>
  <c r="M817" i="17" s="1"/>
  <c r="L818" i="17"/>
  <c r="M818" i="17" s="1"/>
  <c r="L819" i="17"/>
  <c r="M819" i="17" s="1"/>
  <c r="L820" i="17"/>
  <c r="M820" i="17" s="1"/>
  <c r="L821" i="17"/>
  <c r="L822" i="17"/>
  <c r="M822" i="17" s="1"/>
  <c r="L823" i="17"/>
  <c r="M823" i="17" s="1"/>
  <c r="L824" i="17"/>
  <c r="M824" i="17" s="1"/>
  <c r="L825" i="17"/>
  <c r="M825" i="17" s="1"/>
  <c r="L826" i="17"/>
  <c r="M826" i="17" s="1"/>
  <c r="L827" i="17"/>
  <c r="M827" i="17" s="1"/>
  <c r="L828" i="17"/>
  <c r="M828" i="17" s="1"/>
  <c r="L829" i="17"/>
  <c r="L830" i="17"/>
  <c r="M830" i="17" s="1"/>
  <c r="L831" i="17"/>
  <c r="M831" i="17" s="1"/>
  <c r="L832" i="17"/>
  <c r="M832" i="17" s="1"/>
  <c r="L833" i="17"/>
  <c r="M833" i="17" s="1"/>
  <c r="L834" i="17"/>
  <c r="M834" i="17" s="1"/>
  <c r="L835" i="17"/>
  <c r="M835" i="17" s="1"/>
  <c r="L836" i="17"/>
  <c r="M836" i="17" s="1"/>
  <c r="L837" i="17"/>
  <c r="L838" i="17"/>
  <c r="M838" i="17" s="1"/>
  <c r="L839" i="17"/>
  <c r="M839" i="17" s="1"/>
  <c r="L840" i="17"/>
  <c r="M840" i="17" s="1"/>
  <c r="L841" i="17"/>
  <c r="M841" i="17" s="1"/>
  <c r="L842" i="17"/>
  <c r="M842" i="17" s="1"/>
  <c r="L843" i="17"/>
  <c r="M843" i="17" s="1"/>
  <c r="L844" i="17"/>
  <c r="M844" i="17" s="1"/>
  <c r="L845" i="17"/>
  <c r="L846" i="17"/>
  <c r="M846" i="17" s="1"/>
  <c r="L847" i="17"/>
  <c r="M847" i="17" s="1"/>
  <c r="L848" i="17"/>
  <c r="M848" i="17" s="1"/>
  <c r="L849" i="17"/>
  <c r="M849" i="17" s="1"/>
  <c r="L850" i="17"/>
  <c r="M850" i="17" s="1"/>
  <c r="L851" i="17"/>
  <c r="M851" i="17" s="1"/>
  <c r="L852" i="17"/>
  <c r="M852" i="17" s="1"/>
  <c r="L853" i="17"/>
  <c r="L854" i="17"/>
  <c r="M854" i="17" s="1"/>
  <c r="L855" i="17"/>
  <c r="M855" i="17" s="1"/>
  <c r="L856" i="17"/>
  <c r="M856" i="17" s="1"/>
  <c r="L857" i="17"/>
  <c r="M857" i="17" s="1"/>
  <c r="L858" i="17"/>
  <c r="M858" i="17" s="1"/>
  <c r="L859" i="17"/>
  <c r="M859" i="17" s="1"/>
  <c r="L860" i="17"/>
  <c r="M860" i="17" s="1"/>
  <c r="L861" i="17"/>
  <c r="L862" i="17"/>
  <c r="M862" i="17" s="1"/>
  <c r="L863" i="17"/>
  <c r="M863" i="17" s="1"/>
  <c r="L864" i="17"/>
  <c r="M864" i="17" s="1"/>
  <c r="L865" i="17"/>
  <c r="M865" i="17" s="1"/>
  <c r="L866" i="17"/>
  <c r="M866" i="17" s="1"/>
  <c r="L867" i="17"/>
  <c r="M867" i="17" s="1"/>
  <c r="L868" i="17"/>
  <c r="M868" i="17" s="1"/>
  <c r="L869" i="17"/>
  <c r="L870" i="17"/>
  <c r="M870" i="17" s="1"/>
  <c r="L871" i="17"/>
  <c r="M871" i="17" s="1"/>
  <c r="L872" i="17"/>
  <c r="M872" i="17" s="1"/>
  <c r="L873" i="17"/>
  <c r="M873" i="17" s="1"/>
  <c r="L874" i="17"/>
  <c r="M874" i="17" s="1"/>
  <c r="L875" i="17"/>
  <c r="M875" i="17" s="1"/>
  <c r="L876" i="17"/>
  <c r="M876" i="17" s="1"/>
  <c r="L877" i="17"/>
  <c r="L878" i="17"/>
  <c r="M878" i="17" s="1"/>
  <c r="L879" i="17"/>
  <c r="M879" i="17" s="1"/>
  <c r="L880" i="17"/>
  <c r="M880" i="17" s="1"/>
  <c r="L881" i="17"/>
  <c r="M881" i="17" s="1"/>
  <c r="L882" i="17"/>
  <c r="M882" i="17" s="1"/>
  <c r="L883" i="17"/>
  <c r="M883" i="17" s="1"/>
  <c r="L884" i="17"/>
  <c r="M884" i="17" s="1"/>
  <c r="L885" i="17"/>
  <c r="L886" i="17"/>
  <c r="M886" i="17" s="1"/>
  <c r="L887" i="17"/>
  <c r="M887" i="17" s="1"/>
  <c r="L888" i="17"/>
  <c r="M888" i="17" s="1"/>
  <c r="L889" i="17"/>
  <c r="M889" i="17" s="1"/>
  <c r="L890" i="17"/>
  <c r="M890" i="17" s="1"/>
  <c r="L891" i="17"/>
  <c r="M891" i="17" s="1"/>
  <c r="L892" i="17"/>
  <c r="M892" i="17" s="1"/>
  <c r="L893" i="17"/>
  <c r="L894" i="17"/>
  <c r="M894" i="17" s="1"/>
  <c r="L895" i="17"/>
  <c r="M895" i="17" s="1"/>
  <c r="L896" i="17"/>
  <c r="M896" i="17" s="1"/>
  <c r="L897" i="17"/>
  <c r="M897" i="17" s="1"/>
  <c r="L898" i="17"/>
  <c r="M898" i="17" s="1"/>
  <c r="L899" i="17"/>
  <c r="M899" i="17" s="1"/>
  <c r="L900" i="17"/>
  <c r="M900" i="17" s="1"/>
  <c r="L901" i="17"/>
  <c r="L902" i="17"/>
  <c r="M902" i="17" s="1"/>
  <c r="L903" i="17"/>
  <c r="M903" i="17" s="1"/>
  <c r="L904" i="17"/>
  <c r="M904" i="17" s="1"/>
  <c r="L905" i="17"/>
  <c r="M905" i="17" s="1"/>
  <c r="L906" i="17"/>
  <c r="M906" i="17" s="1"/>
  <c r="L907" i="17"/>
  <c r="M907" i="17" s="1"/>
  <c r="L908" i="17"/>
  <c r="M908" i="17" s="1"/>
  <c r="L909" i="17"/>
  <c r="L910" i="17"/>
  <c r="M910" i="17" s="1"/>
  <c r="L911" i="17"/>
  <c r="M911" i="17" s="1"/>
  <c r="L912" i="17"/>
  <c r="M912" i="17" s="1"/>
  <c r="L913" i="17"/>
  <c r="M913" i="17" s="1"/>
  <c r="L914" i="17"/>
  <c r="M914" i="17" s="1"/>
  <c r="L915" i="17"/>
  <c r="M915" i="17" s="1"/>
  <c r="L916" i="17"/>
  <c r="M916" i="17" s="1"/>
  <c r="L917" i="17"/>
  <c r="L918" i="17"/>
  <c r="M918" i="17" s="1"/>
  <c r="L919" i="17"/>
  <c r="M919" i="17" s="1"/>
  <c r="L920" i="17"/>
  <c r="M920" i="17" s="1"/>
  <c r="L921" i="17"/>
  <c r="M921" i="17" s="1"/>
  <c r="L922" i="17"/>
  <c r="M922" i="17" s="1"/>
  <c r="L923" i="17"/>
  <c r="M923" i="17" s="1"/>
  <c r="L924" i="17"/>
  <c r="M924" i="17" s="1"/>
  <c r="L925" i="17"/>
  <c r="L926" i="17"/>
  <c r="M926" i="17" s="1"/>
  <c r="L927" i="17"/>
  <c r="M927" i="17" s="1"/>
  <c r="L928" i="17"/>
  <c r="M928" i="17" s="1"/>
  <c r="L929" i="17"/>
  <c r="M929" i="17" s="1"/>
  <c r="L930" i="17"/>
  <c r="M930" i="17" s="1"/>
  <c r="L931" i="17"/>
  <c r="M931" i="17" s="1"/>
  <c r="L932" i="17"/>
  <c r="M932" i="17" s="1"/>
  <c r="L933" i="17"/>
  <c r="L934" i="17"/>
  <c r="M934" i="17" s="1"/>
  <c r="L935" i="17"/>
  <c r="M935" i="17" s="1"/>
  <c r="L936" i="17"/>
  <c r="M936" i="17" s="1"/>
  <c r="L937" i="17"/>
  <c r="M937" i="17" s="1"/>
  <c r="L938" i="17"/>
  <c r="M938" i="17" s="1"/>
  <c r="L939" i="17"/>
  <c r="M939" i="17" s="1"/>
  <c r="L940" i="17"/>
  <c r="M940" i="17" s="1"/>
  <c r="L941" i="17"/>
  <c r="L942" i="17"/>
  <c r="M942" i="17" s="1"/>
  <c r="L943" i="17"/>
  <c r="M943" i="17" s="1"/>
  <c r="L944" i="17"/>
  <c r="M944" i="17" s="1"/>
  <c r="L945" i="17"/>
  <c r="M945" i="17" s="1"/>
  <c r="L946" i="17"/>
  <c r="M946" i="17" s="1"/>
  <c r="L947" i="17"/>
  <c r="M947" i="17" s="1"/>
  <c r="L948" i="17"/>
  <c r="M948" i="17" s="1"/>
  <c r="L949" i="17"/>
  <c r="L950" i="17"/>
  <c r="M950" i="17" s="1"/>
  <c r="L951" i="17"/>
  <c r="M951" i="17" s="1"/>
  <c r="L952" i="17"/>
  <c r="M952" i="17" s="1"/>
  <c r="L953" i="17"/>
  <c r="M953" i="17" s="1"/>
  <c r="L954" i="17"/>
  <c r="M954" i="17" s="1"/>
  <c r="L955" i="17"/>
  <c r="M955" i="17" s="1"/>
  <c r="L956" i="17"/>
  <c r="M956" i="17" s="1"/>
  <c r="L957" i="17"/>
  <c r="L958" i="17"/>
  <c r="M958" i="17" s="1"/>
  <c r="L959" i="17"/>
  <c r="M959" i="17" s="1"/>
  <c r="L960" i="17"/>
  <c r="M960" i="17" s="1"/>
  <c r="L961" i="17"/>
  <c r="M961" i="17" s="1"/>
  <c r="L962" i="17"/>
  <c r="M962" i="17" s="1"/>
  <c r="L963" i="17"/>
  <c r="M963" i="17" s="1"/>
  <c r="L964" i="17"/>
  <c r="M964" i="17" s="1"/>
  <c r="L965" i="17"/>
  <c r="L966" i="17"/>
  <c r="M966" i="17" s="1"/>
  <c r="L967" i="17"/>
  <c r="M967" i="17" s="1"/>
  <c r="L968" i="17"/>
  <c r="M968" i="17" s="1"/>
  <c r="L969" i="17"/>
  <c r="M969" i="17" s="1"/>
  <c r="L970" i="17"/>
  <c r="M970" i="17" s="1"/>
  <c r="L971" i="17"/>
  <c r="M971" i="17" s="1"/>
  <c r="L972" i="17"/>
  <c r="M972" i="17" s="1"/>
  <c r="L973" i="17"/>
  <c r="L974" i="17"/>
  <c r="M974" i="17" s="1"/>
  <c r="L975" i="17"/>
  <c r="M975" i="17" s="1"/>
  <c r="L976" i="17"/>
  <c r="M976" i="17" s="1"/>
  <c r="L977" i="17"/>
  <c r="M977" i="17" s="1"/>
  <c r="L978" i="17"/>
  <c r="M978" i="17" s="1"/>
  <c r="L979" i="17"/>
  <c r="M979" i="17" s="1"/>
  <c r="L980" i="17"/>
  <c r="M980" i="17" s="1"/>
  <c r="L981" i="17"/>
  <c r="L982" i="17"/>
  <c r="M982" i="17" s="1"/>
  <c r="L983" i="17"/>
  <c r="M983" i="17" s="1"/>
  <c r="L984" i="17"/>
  <c r="M984" i="17" s="1"/>
  <c r="L985" i="17"/>
  <c r="M985" i="17" s="1"/>
  <c r="L986" i="17"/>
  <c r="M986" i="17" s="1"/>
  <c r="L987" i="17"/>
  <c r="M987" i="17" s="1"/>
  <c r="L988" i="17"/>
  <c r="M988" i="17" s="1"/>
  <c r="L989" i="17"/>
  <c r="L990" i="17"/>
  <c r="M990" i="17" s="1"/>
  <c r="L991" i="17"/>
  <c r="M991" i="17" s="1"/>
  <c r="L992" i="17"/>
  <c r="M992" i="17" s="1"/>
  <c r="L993" i="17"/>
  <c r="M993" i="17" s="1"/>
  <c r="L994" i="17"/>
  <c r="M994" i="17" s="1"/>
  <c r="L995" i="17"/>
  <c r="M995" i="17" s="1"/>
  <c r="L996" i="17"/>
  <c r="M996" i="17" s="1"/>
  <c r="L997" i="17"/>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J546" i="17"/>
  <c r="O546" i="17" s="1"/>
  <c r="J547" i="17"/>
  <c r="O547" i="17" s="1"/>
  <c r="J548" i="17"/>
  <c r="O548" i="17" s="1"/>
  <c r="J549" i="17"/>
  <c r="O549" i="17" s="1"/>
  <c r="J550" i="17"/>
  <c r="O550" i="17" s="1"/>
  <c r="J551" i="17"/>
  <c r="O551" i="17" s="1"/>
  <c r="J552" i="17"/>
  <c r="O552" i="17" s="1"/>
  <c r="J553" i="17"/>
  <c r="O553" i="17" s="1"/>
  <c r="J554" i="17"/>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J578" i="17"/>
  <c r="O578" i="17" s="1"/>
  <c r="J579" i="17"/>
  <c r="O579" i="17" s="1"/>
  <c r="J580" i="17"/>
  <c r="O580" i="17" s="1"/>
  <c r="J581" i="17"/>
  <c r="O581" i="17" s="1"/>
  <c r="J582" i="17"/>
  <c r="O582" i="17" s="1"/>
  <c r="J583" i="17"/>
  <c r="O583" i="17" s="1"/>
  <c r="J584" i="17"/>
  <c r="O584" i="17" s="1"/>
  <c r="J585" i="17"/>
  <c r="O585" i="17" s="1"/>
  <c r="J586" i="17"/>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J610" i="17"/>
  <c r="O610" i="17" s="1"/>
  <c r="J611" i="17"/>
  <c r="O611" i="17" s="1"/>
  <c r="J612" i="17"/>
  <c r="O612" i="17" s="1"/>
  <c r="J613" i="17"/>
  <c r="O613" i="17" s="1"/>
  <c r="J614" i="17"/>
  <c r="O614" i="17" s="1"/>
  <c r="J615" i="17"/>
  <c r="O615" i="17" s="1"/>
  <c r="J616" i="17"/>
  <c r="O616" i="17" s="1"/>
  <c r="J617" i="17"/>
  <c r="O617" i="17" s="1"/>
  <c r="J618" i="17"/>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J642" i="17"/>
  <c r="O642" i="17" s="1"/>
  <c r="J643" i="17"/>
  <c r="O643" i="17" s="1"/>
  <c r="J644" i="17"/>
  <c r="O644" i="17" s="1"/>
  <c r="J645" i="17"/>
  <c r="O645" i="17" s="1"/>
  <c r="J646" i="17"/>
  <c r="O646" i="17" s="1"/>
  <c r="J647" i="17"/>
  <c r="O647" i="17" s="1"/>
  <c r="J648" i="17"/>
  <c r="O648" i="17" s="1"/>
  <c r="J649" i="17"/>
  <c r="O649" i="17" s="1"/>
  <c r="J650" i="17"/>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J674" i="17"/>
  <c r="O674" i="17" s="1"/>
  <c r="J675" i="17"/>
  <c r="O675" i="17" s="1"/>
  <c r="J676" i="17"/>
  <c r="O676" i="17" s="1"/>
  <c r="J677" i="17"/>
  <c r="O677" i="17" s="1"/>
  <c r="J678" i="17"/>
  <c r="O678" i="17" s="1"/>
  <c r="J679" i="17"/>
  <c r="O679" i="17" s="1"/>
  <c r="J680" i="17"/>
  <c r="O680" i="17" s="1"/>
  <c r="J681" i="17"/>
  <c r="O681" i="17" s="1"/>
  <c r="J682" i="17"/>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J706" i="17"/>
  <c r="O706" i="17" s="1"/>
  <c r="J707" i="17"/>
  <c r="O707" i="17" s="1"/>
  <c r="J708" i="17"/>
  <c r="O708" i="17" s="1"/>
  <c r="J709" i="17"/>
  <c r="O709" i="17" s="1"/>
  <c r="J710" i="17"/>
  <c r="O710" i="17" s="1"/>
  <c r="J711" i="17"/>
  <c r="O711" i="17" s="1"/>
  <c r="J712" i="17"/>
  <c r="O712" i="17" s="1"/>
  <c r="J713" i="17"/>
  <c r="O713" i="17" s="1"/>
  <c r="J714" i="17"/>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J738" i="17"/>
  <c r="O738" i="17" s="1"/>
  <c r="J739" i="17"/>
  <c r="O739" i="17" s="1"/>
  <c r="J740" i="17"/>
  <c r="O740" i="17" s="1"/>
  <c r="J741" i="17"/>
  <c r="O741" i="17" s="1"/>
  <c r="J742" i="17"/>
  <c r="O742" i="17" s="1"/>
  <c r="J743" i="17"/>
  <c r="O743" i="17" s="1"/>
  <c r="J744" i="17"/>
  <c r="O744" i="17" s="1"/>
  <c r="J745" i="17"/>
  <c r="O745" i="17" s="1"/>
  <c r="J746" i="17"/>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J770" i="17"/>
  <c r="O770" i="17" s="1"/>
  <c r="J771" i="17"/>
  <c r="O771" i="17" s="1"/>
  <c r="J772" i="17"/>
  <c r="O772" i="17" s="1"/>
  <c r="J773" i="17"/>
  <c r="O773" i="17" s="1"/>
  <c r="J774" i="17"/>
  <c r="O774" i="17" s="1"/>
  <c r="J775" i="17"/>
  <c r="O775" i="17" s="1"/>
  <c r="J776" i="17"/>
  <c r="O776" i="17" s="1"/>
  <c r="J777" i="17"/>
  <c r="O777" i="17" s="1"/>
  <c r="J778" i="17"/>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J802" i="17"/>
  <c r="O802" i="17" s="1"/>
  <c r="J803" i="17"/>
  <c r="O803" i="17" s="1"/>
  <c r="J804" i="17"/>
  <c r="O804" i="17" s="1"/>
  <c r="J805" i="17"/>
  <c r="O805" i="17" s="1"/>
  <c r="J806" i="17"/>
  <c r="O806" i="17" s="1"/>
  <c r="J807" i="17"/>
  <c r="O807" i="17" s="1"/>
  <c r="J808" i="17"/>
  <c r="O808" i="17" s="1"/>
  <c r="J809" i="17"/>
  <c r="O809" i="17" s="1"/>
  <c r="J810" i="17"/>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J834" i="17"/>
  <c r="O834" i="17" s="1"/>
  <c r="J835" i="17"/>
  <c r="O835" i="17" s="1"/>
  <c r="J836" i="17"/>
  <c r="O836" i="17" s="1"/>
  <c r="J837" i="17"/>
  <c r="O837" i="17" s="1"/>
  <c r="J838" i="17"/>
  <c r="O838" i="17" s="1"/>
  <c r="J839" i="17"/>
  <c r="O839" i="17" s="1"/>
  <c r="J840" i="17"/>
  <c r="O840" i="17" s="1"/>
  <c r="J841" i="17"/>
  <c r="O841" i="17" s="1"/>
  <c r="J842" i="17"/>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J866" i="17"/>
  <c r="O866" i="17" s="1"/>
  <c r="J867" i="17"/>
  <c r="O867" i="17" s="1"/>
  <c r="J868" i="17"/>
  <c r="O868" i="17" s="1"/>
  <c r="J869" i="17"/>
  <c r="O869" i="17" s="1"/>
  <c r="J870" i="17"/>
  <c r="O870" i="17" s="1"/>
  <c r="J871" i="17"/>
  <c r="O871" i="17" s="1"/>
  <c r="J872" i="17"/>
  <c r="O872" i="17" s="1"/>
  <c r="J873" i="17"/>
  <c r="O873" i="17" s="1"/>
  <c r="J874" i="17"/>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J898" i="17"/>
  <c r="O898" i="17" s="1"/>
  <c r="J899" i="17"/>
  <c r="O899" i="17" s="1"/>
  <c r="J900" i="17"/>
  <c r="O900" i="17" s="1"/>
  <c r="J901" i="17"/>
  <c r="O901" i="17" s="1"/>
  <c r="J902" i="17"/>
  <c r="O902" i="17" s="1"/>
  <c r="J903" i="17"/>
  <c r="O903" i="17" s="1"/>
  <c r="J904" i="17"/>
  <c r="O904" i="17" s="1"/>
  <c r="J905" i="17"/>
  <c r="O905" i="17" s="1"/>
  <c r="J906" i="17"/>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J930" i="17"/>
  <c r="O930" i="17" s="1"/>
  <c r="J931" i="17"/>
  <c r="O931" i="17" s="1"/>
  <c r="J932" i="17"/>
  <c r="O932" i="17" s="1"/>
  <c r="J933" i="17"/>
  <c r="O933" i="17" s="1"/>
  <c r="J934" i="17"/>
  <c r="O934" i="17" s="1"/>
  <c r="J935" i="17"/>
  <c r="O935" i="17" s="1"/>
  <c r="J936" i="17"/>
  <c r="O936" i="17" s="1"/>
  <c r="J937" i="17"/>
  <c r="O937" i="17" s="1"/>
  <c r="J938" i="17"/>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J962" i="17"/>
  <c r="O962" i="17" s="1"/>
  <c r="J963" i="17"/>
  <c r="O963" i="17" s="1"/>
  <c r="J964" i="17"/>
  <c r="O964" i="17" s="1"/>
  <c r="J965" i="17"/>
  <c r="O965" i="17" s="1"/>
  <c r="J966" i="17"/>
  <c r="O966" i="17" s="1"/>
  <c r="J967" i="17"/>
  <c r="O967" i="17" s="1"/>
  <c r="J968" i="17"/>
  <c r="O968" i="17" s="1"/>
  <c r="J969" i="17"/>
  <c r="O969" i="17" s="1"/>
  <c r="J970" i="17"/>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J994" i="17"/>
  <c r="O994" i="17" s="1"/>
  <c r="J995" i="17"/>
  <c r="O995" i="17" s="1"/>
  <c r="J996" i="17"/>
  <c r="O996" i="17" s="1"/>
  <c r="J997" i="17"/>
  <c r="O997" i="17" s="1"/>
  <c r="J998" i="17"/>
  <c r="O998" i="17" s="1"/>
  <c r="J999" i="17"/>
  <c r="O999" i="17" s="1"/>
  <c r="J1000" i="17"/>
  <c r="O1000" i="17" s="1"/>
  <c r="J1001" i="17"/>
  <c r="O1001" i="17" s="1"/>
  <c r="J2" i="17"/>
  <c r="K2" i="17"/>
  <c r="L2" i="17"/>
  <c r="M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I35" i="17"/>
  <c r="N35" i="17" s="1"/>
  <c r="I36" i="17"/>
  <c r="N36" i="17" s="1"/>
  <c r="I37" i="17"/>
  <c r="N37" i="17" s="1"/>
  <c r="I38" i="17"/>
  <c r="I39" i="17"/>
  <c r="N39" i="17" s="1"/>
  <c r="I40" i="17"/>
  <c r="N40" i="17" s="1"/>
  <c r="I41" i="17"/>
  <c r="N41" i="17" s="1"/>
  <c r="I42" i="17"/>
  <c r="N42" i="17" s="1"/>
  <c r="I43" i="17"/>
  <c r="N43" i="17" s="1"/>
  <c r="I44" i="17"/>
  <c r="N44" i="17" s="1"/>
  <c r="I45" i="17"/>
  <c r="N45" i="17" s="1"/>
  <c r="I46" i="17"/>
  <c r="N46" i="17" s="1"/>
  <c r="I47" i="17"/>
  <c r="N47" i="17" s="1"/>
  <c r="I48" i="17"/>
  <c r="N48" i="17" s="1"/>
  <c r="I49" i="17"/>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I67" i="17"/>
  <c r="N67" i="17" s="1"/>
  <c r="I68" i="17"/>
  <c r="N68" i="17" s="1"/>
  <c r="I69" i="17"/>
  <c r="N69" i="17" s="1"/>
  <c r="I70" i="17"/>
  <c r="I71" i="17"/>
  <c r="N71" i="17" s="1"/>
  <c r="I72" i="17"/>
  <c r="N72" i="17" s="1"/>
  <c r="I73" i="17"/>
  <c r="N73" i="17" s="1"/>
  <c r="I74" i="17"/>
  <c r="N74" i="17" s="1"/>
  <c r="I75" i="17"/>
  <c r="N75" i="17" s="1"/>
  <c r="I76" i="17"/>
  <c r="N76" i="17" s="1"/>
  <c r="I77" i="17"/>
  <c r="N77" i="17" s="1"/>
  <c r="I78" i="17"/>
  <c r="N78" i="17" s="1"/>
  <c r="I79" i="17"/>
  <c r="N79" i="17" s="1"/>
  <c r="I80" i="17"/>
  <c r="N80" i="17" s="1"/>
  <c r="I81" i="17"/>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I99" i="17"/>
  <c r="N99" i="17" s="1"/>
  <c r="I100" i="17"/>
  <c r="N100" i="17" s="1"/>
  <c r="I101" i="17"/>
  <c r="N101" i="17" s="1"/>
  <c r="I102" i="17"/>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I131" i="17"/>
  <c r="N131" i="17" s="1"/>
  <c r="I132" i="17"/>
  <c r="N132" i="17" s="1"/>
  <c r="I133" i="17"/>
  <c r="N133" i="17" s="1"/>
  <c r="I134" i="17"/>
  <c r="I135" i="17"/>
  <c r="N135" i="17" s="1"/>
  <c r="I136" i="17"/>
  <c r="N136" i="17" s="1"/>
  <c r="I137" i="17"/>
  <c r="N137" i="17" s="1"/>
  <c r="I138" i="17"/>
  <c r="N138" i="17" s="1"/>
  <c r="I139" i="17"/>
  <c r="N139" i="17" s="1"/>
  <c r="I140" i="17"/>
  <c r="N140" i="17" s="1"/>
  <c r="I141" i="17"/>
  <c r="N141" i="17" s="1"/>
  <c r="I142" i="17"/>
  <c r="N142" i="17" s="1"/>
  <c r="I143" i="17"/>
  <c r="I144" i="17"/>
  <c r="N144" i="17" s="1"/>
  <c r="I145" i="17"/>
  <c r="N145" i="17" s="1"/>
  <c r="I146" i="17"/>
  <c r="N146" i="17" s="1"/>
  <c r="I147" i="17"/>
  <c r="N147" i="17" s="1"/>
  <c r="I148" i="17"/>
  <c r="N148" i="17" s="1"/>
  <c r="I149" i="17"/>
  <c r="N149" i="17" s="1"/>
  <c r="I150" i="17"/>
  <c r="N150" i="17" s="1"/>
  <c r="I151" i="17"/>
  <c r="I152" i="17"/>
  <c r="N152" i="17" s="1"/>
  <c r="I153" i="17"/>
  <c r="N153" i="17" s="1"/>
  <c r="I154" i="17"/>
  <c r="N154" i="17" s="1"/>
  <c r="I155" i="17"/>
  <c r="N155" i="17" s="1"/>
  <c r="I156" i="17"/>
  <c r="N156" i="17" s="1"/>
  <c r="I157" i="17"/>
  <c r="N157" i="17" s="1"/>
  <c r="I158" i="17"/>
  <c r="N158" i="17" s="1"/>
  <c r="I159" i="17"/>
  <c r="I160" i="17"/>
  <c r="N160" i="17" s="1"/>
  <c r="I161" i="17"/>
  <c r="N161" i="17" s="1"/>
  <c r="I162" i="17"/>
  <c r="N162" i="17" s="1"/>
  <c r="I163" i="17"/>
  <c r="N163" i="17" s="1"/>
  <c r="I164" i="17"/>
  <c r="N164" i="17" s="1"/>
  <c r="I165" i="17"/>
  <c r="N165" i="17" s="1"/>
  <c r="I166" i="17"/>
  <c r="N166" i="17" s="1"/>
  <c r="I167" i="17"/>
  <c r="I168" i="17"/>
  <c r="N168" i="17" s="1"/>
  <c r="I169" i="17"/>
  <c r="N169" i="17" s="1"/>
  <c r="I170" i="17"/>
  <c r="N170" i="17" s="1"/>
  <c r="I171" i="17"/>
  <c r="N171" i="17" s="1"/>
  <c r="I172" i="17"/>
  <c r="N172" i="17" s="1"/>
  <c r="I173" i="17"/>
  <c r="N173" i="17" s="1"/>
  <c r="I174" i="17"/>
  <c r="N174" i="17" s="1"/>
  <c r="I175" i="17"/>
  <c r="I176" i="17"/>
  <c r="N176" i="17" s="1"/>
  <c r="I177" i="17"/>
  <c r="N177" i="17" s="1"/>
  <c r="I178" i="17"/>
  <c r="N178" i="17" s="1"/>
  <c r="I179" i="17"/>
  <c r="N179" i="17" s="1"/>
  <c r="I180" i="17"/>
  <c r="N180" i="17" s="1"/>
  <c r="I181" i="17"/>
  <c r="N181" i="17" s="1"/>
  <c r="I182" i="17"/>
  <c r="N182" i="17" s="1"/>
  <c r="I183" i="17"/>
  <c r="I184" i="17"/>
  <c r="N184" i="17" s="1"/>
  <c r="I185" i="17"/>
  <c r="N185" i="17" s="1"/>
  <c r="I186" i="17"/>
  <c r="N186" i="17" s="1"/>
  <c r="I187" i="17"/>
  <c r="N187" i="17" s="1"/>
  <c r="I188" i="17"/>
  <c r="N188" i="17" s="1"/>
  <c r="I189" i="17"/>
  <c r="N189" i="17" s="1"/>
  <c r="I190" i="17"/>
  <c r="N190" i="17" s="1"/>
  <c r="I191" i="17"/>
  <c r="I192" i="17"/>
  <c r="N192" i="17" s="1"/>
  <c r="I193" i="17"/>
  <c r="N193" i="17" s="1"/>
  <c r="I194" i="17"/>
  <c r="N194" i="17" s="1"/>
  <c r="I195" i="17"/>
  <c r="N195" i="17" s="1"/>
  <c r="I196" i="17"/>
  <c r="N196" i="17" s="1"/>
  <c r="I197" i="17"/>
  <c r="N197" i="17" s="1"/>
  <c r="I198" i="17"/>
  <c r="N198" i="17" s="1"/>
  <c r="I199" i="17"/>
  <c r="I200" i="17"/>
  <c r="N200" i="17" s="1"/>
  <c r="I201" i="17"/>
  <c r="N201" i="17" s="1"/>
  <c r="I202" i="17"/>
  <c r="N202" i="17" s="1"/>
  <c r="I203" i="17"/>
  <c r="N203" i="17" s="1"/>
  <c r="I204" i="17"/>
  <c r="N204" i="17" s="1"/>
  <c r="I205" i="17"/>
  <c r="N205" i="17" s="1"/>
  <c r="I206" i="17"/>
  <c r="N206" i="17" s="1"/>
  <c r="I207" i="17"/>
  <c r="I208" i="17"/>
  <c r="N208" i="17" s="1"/>
  <c r="I209" i="17"/>
  <c r="N209" i="17" s="1"/>
  <c r="I210" i="17"/>
  <c r="N210" i="17" s="1"/>
  <c r="I211" i="17"/>
  <c r="N211" i="17" s="1"/>
  <c r="I212" i="17"/>
  <c r="N212" i="17" s="1"/>
  <c r="I213" i="17"/>
  <c r="N213" i="17" s="1"/>
  <c r="I214" i="17"/>
  <c r="N214" i="17" s="1"/>
  <c r="I215" i="17"/>
  <c r="I216" i="17"/>
  <c r="N216" i="17" s="1"/>
  <c r="I217" i="17"/>
  <c r="N217" i="17" s="1"/>
  <c r="I218" i="17"/>
  <c r="N218" i="17" s="1"/>
  <c r="I219" i="17"/>
  <c r="N219" i="17" s="1"/>
  <c r="I220" i="17"/>
  <c r="N220" i="17" s="1"/>
  <c r="I221" i="17"/>
  <c r="N221" i="17" s="1"/>
  <c r="I222" i="17"/>
  <c r="N222" i="17" s="1"/>
  <c r="I223" i="17"/>
  <c r="I224" i="17"/>
  <c r="N224" i="17" s="1"/>
  <c r="I225" i="17"/>
  <c r="N225" i="17" s="1"/>
  <c r="I226" i="17"/>
  <c r="N226" i="17" s="1"/>
  <c r="I227" i="17"/>
  <c r="N227" i="17" s="1"/>
  <c r="I228" i="17"/>
  <c r="N228" i="17" s="1"/>
  <c r="I229" i="17"/>
  <c r="N229" i="17" s="1"/>
  <c r="I230" i="17"/>
  <c r="N230" i="17" s="1"/>
  <c r="I231" i="17"/>
  <c r="I232" i="17"/>
  <c r="N232" i="17" s="1"/>
  <c r="I233" i="17"/>
  <c r="N233" i="17" s="1"/>
  <c r="I234" i="17"/>
  <c r="N234" i="17" s="1"/>
  <c r="I235" i="17"/>
  <c r="N235" i="17" s="1"/>
  <c r="I236" i="17"/>
  <c r="N236" i="17" s="1"/>
  <c r="I237" i="17"/>
  <c r="N237" i="17" s="1"/>
  <c r="I238" i="17"/>
  <c r="N238" i="17" s="1"/>
  <c r="I239" i="17"/>
  <c r="I240" i="17"/>
  <c r="N240" i="17" s="1"/>
  <c r="I241" i="17"/>
  <c r="N241" i="17" s="1"/>
  <c r="I242" i="17"/>
  <c r="N242" i="17" s="1"/>
  <c r="I243" i="17"/>
  <c r="N243" i="17" s="1"/>
  <c r="I244" i="17"/>
  <c r="N244" i="17" s="1"/>
  <c r="I245" i="17"/>
  <c r="N245" i="17" s="1"/>
  <c r="I246" i="17"/>
  <c r="N246" i="17" s="1"/>
  <c r="I247" i="17"/>
  <c r="I248" i="17"/>
  <c r="N248" i="17" s="1"/>
  <c r="I249" i="17"/>
  <c r="N249" i="17" s="1"/>
  <c r="I250" i="17"/>
  <c r="N250" i="17" s="1"/>
  <c r="I251" i="17"/>
  <c r="N251" i="17" s="1"/>
  <c r="I252" i="17"/>
  <c r="N252" i="17" s="1"/>
  <c r="I253" i="17"/>
  <c r="N253" i="17" s="1"/>
  <c r="I254" i="17"/>
  <c r="N254" i="17" s="1"/>
  <c r="I255" i="17"/>
  <c r="I256" i="17"/>
  <c r="N256" i="17" s="1"/>
  <c r="I257" i="17"/>
  <c r="N257" i="17" s="1"/>
  <c r="I258" i="17"/>
  <c r="N258" i="17" s="1"/>
  <c r="I259" i="17"/>
  <c r="N259" i="17" s="1"/>
  <c r="I260" i="17"/>
  <c r="N260" i="17" s="1"/>
  <c r="I261" i="17"/>
  <c r="N261" i="17" s="1"/>
  <c r="I262" i="17"/>
  <c r="N262" i="17" s="1"/>
  <c r="I263" i="17"/>
  <c r="I264" i="17"/>
  <c r="N264" i="17" s="1"/>
  <c r="I265" i="17"/>
  <c r="N265" i="17" s="1"/>
  <c r="I266" i="17"/>
  <c r="N266" i="17" s="1"/>
  <c r="I267" i="17"/>
  <c r="N267" i="17" s="1"/>
  <c r="I268" i="17"/>
  <c r="N268" i="17" s="1"/>
  <c r="I269" i="17"/>
  <c r="N269" i="17" s="1"/>
  <c r="I270" i="17"/>
  <c r="N270" i="17" s="1"/>
  <c r="I271" i="17"/>
  <c r="I272" i="17"/>
  <c r="N272" i="17" s="1"/>
  <c r="I273" i="17"/>
  <c r="N273" i="17" s="1"/>
  <c r="I274" i="17"/>
  <c r="N274" i="17" s="1"/>
  <c r="I275" i="17"/>
  <c r="N275" i="17" s="1"/>
  <c r="I276" i="17"/>
  <c r="N276" i="17" s="1"/>
  <c r="I277" i="17"/>
  <c r="N277" i="17" s="1"/>
  <c r="I278" i="17"/>
  <c r="N278" i="17" s="1"/>
  <c r="I279" i="17"/>
  <c r="I280" i="17"/>
  <c r="N280" i="17" s="1"/>
  <c r="I281" i="17"/>
  <c r="N281" i="17" s="1"/>
  <c r="I282" i="17"/>
  <c r="N282" i="17" s="1"/>
  <c r="I283" i="17"/>
  <c r="N283" i="17" s="1"/>
  <c r="I284" i="17"/>
  <c r="N284" i="17" s="1"/>
  <c r="I285" i="17"/>
  <c r="N285" i="17" s="1"/>
  <c r="I286" i="17"/>
  <c r="N286" i="17" s="1"/>
  <c r="I287" i="17"/>
  <c r="I288" i="17"/>
  <c r="N288" i="17" s="1"/>
  <c r="I289" i="17"/>
  <c r="N289" i="17" s="1"/>
  <c r="I290" i="17"/>
  <c r="N290" i="17" s="1"/>
  <c r="I291" i="17"/>
  <c r="N291" i="17" s="1"/>
  <c r="I292" i="17"/>
  <c r="N292" i="17" s="1"/>
  <c r="I293" i="17"/>
  <c r="N293" i="17" s="1"/>
  <c r="I294" i="17"/>
  <c r="N294" i="17" s="1"/>
  <c r="I295" i="17"/>
  <c r="I296" i="17"/>
  <c r="N296" i="17" s="1"/>
  <c r="I297" i="17"/>
  <c r="N297" i="17" s="1"/>
  <c r="I298" i="17"/>
  <c r="N298" i="17" s="1"/>
  <c r="I299" i="17"/>
  <c r="N299" i="17" s="1"/>
  <c r="I300" i="17"/>
  <c r="N300" i="17" s="1"/>
  <c r="I301" i="17"/>
  <c r="N301" i="17" s="1"/>
  <c r="I302" i="17"/>
  <c r="N302" i="17" s="1"/>
  <c r="I303" i="17"/>
  <c r="I304" i="17"/>
  <c r="N304" i="17" s="1"/>
  <c r="I305" i="17"/>
  <c r="N305" i="17" s="1"/>
  <c r="I306" i="17"/>
  <c r="N306" i="17" s="1"/>
  <c r="I307" i="17"/>
  <c r="N307" i="17" s="1"/>
  <c r="I308" i="17"/>
  <c r="N308" i="17" s="1"/>
  <c r="I309" i="17"/>
  <c r="N309" i="17" s="1"/>
  <c r="I310" i="17"/>
  <c r="N310" i="17" s="1"/>
  <c r="I311" i="17"/>
  <c r="I312" i="17"/>
  <c r="N312" i="17" s="1"/>
  <c r="I313" i="17"/>
  <c r="N313" i="17" s="1"/>
  <c r="I314" i="17"/>
  <c r="N314" i="17" s="1"/>
  <c r="I315" i="17"/>
  <c r="N315" i="17" s="1"/>
  <c r="I316" i="17"/>
  <c r="N316" i="17" s="1"/>
  <c r="I317" i="17"/>
  <c r="N317" i="17" s="1"/>
  <c r="I318" i="17"/>
  <c r="N318" i="17" s="1"/>
  <c r="I319" i="17"/>
  <c r="I320" i="17"/>
  <c r="N320" i="17" s="1"/>
  <c r="I321" i="17"/>
  <c r="N321" i="17" s="1"/>
  <c r="I322" i="17"/>
  <c r="N322" i="17" s="1"/>
  <c r="I323" i="17"/>
  <c r="N323" i="17" s="1"/>
  <c r="I324" i="17"/>
  <c r="N324" i="17" s="1"/>
  <c r="I325" i="17"/>
  <c r="N325" i="17" s="1"/>
  <c r="I326" i="17"/>
  <c r="N326" i="17" s="1"/>
  <c r="I327" i="17"/>
  <c r="I328" i="17"/>
  <c r="N328" i="17" s="1"/>
  <c r="I329" i="17"/>
  <c r="N329" i="17" s="1"/>
  <c r="I330" i="17"/>
  <c r="N330" i="17" s="1"/>
  <c r="I331" i="17"/>
  <c r="N331" i="17" s="1"/>
  <c r="I332" i="17"/>
  <c r="N332" i="17" s="1"/>
  <c r="I333" i="17"/>
  <c r="N333" i="17" s="1"/>
  <c r="I334" i="17"/>
  <c r="N334" i="17" s="1"/>
  <c r="I335" i="17"/>
  <c r="I336" i="17"/>
  <c r="N336" i="17" s="1"/>
  <c r="I337" i="17"/>
  <c r="N337" i="17" s="1"/>
  <c r="I338" i="17"/>
  <c r="N338" i="17" s="1"/>
  <c r="I339" i="17"/>
  <c r="N339" i="17" s="1"/>
  <c r="I340" i="17"/>
  <c r="N340" i="17" s="1"/>
  <c r="I341" i="17"/>
  <c r="N341" i="17" s="1"/>
  <c r="I342" i="17"/>
  <c r="N342" i="17" s="1"/>
  <c r="I343" i="17"/>
  <c r="I344" i="17"/>
  <c r="N344" i="17" s="1"/>
  <c r="I345" i="17"/>
  <c r="N345" i="17" s="1"/>
  <c r="I346" i="17"/>
  <c r="N346" i="17" s="1"/>
  <c r="I347" i="17"/>
  <c r="N347" i="17" s="1"/>
  <c r="I348" i="17"/>
  <c r="N348" i="17" s="1"/>
  <c r="I349" i="17"/>
  <c r="N349" i="17" s="1"/>
  <c r="I350" i="17"/>
  <c r="N350" i="17" s="1"/>
  <c r="I351" i="17"/>
  <c r="I352" i="17"/>
  <c r="N352" i="17" s="1"/>
  <c r="I353" i="17"/>
  <c r="N353" i="17" s="1"/>
  <c r="I354" i="17"/>
  <c r="N354" i="17" s="1"/>
  <c r="I355" i="17"/>
  <c r="N355" i="17" s="1"/>
  <c r="I356" i="17"/>
  <c r="N356" i="17" s="1"/>
  <c r="I357" i="17"/>
  <c r="N357" i="17" s="1"/>
  <c r="I358" i="17"/>
  <c r="N358" i="17" s="1"/>
  <c r="I359" i="17"/>
  <c r="I360" i="17"/>
  <c r="N360" i="17" s="1"/>
  <c r="I361" i="17"/>
  <c r="N361" i="17" s="1"/>
  <c r="I362" i="17"/>
  <c r="N362" i="17" s="1"/>
  <c r="I363" i="17"/>
  <c r="N363" i="17" s="1"/>
  <c r="I364" i="17"/>
  <c r="N364" i="17" s="1"/>
  <c r="I365" i="17"/>
  <c r="N365" i="17" s="1"/>
  <c r="I366" i="17"/>
  <c r="N366" i="17" s="1"/>
  <c r="I367" i="17"/>
  <c r="I368" i="17"/>
  <c r="N368" i="17" s="1"/>
  <c r="I369" i="17"/>
  <c r="N369" i="17" s="1"/>
  <c r="I370" i="17"/>
  <c r="N370" i="17" s="1"/>
  <c r="I371" i="17"/>
  <c r="N371" i="17" s="1"/>
  <c r="I372" i="17"/>
  <c r="N372" i="17" s="1"/>
  <c r="I373" i="17"/>
  <c r="N373" i="17" s="1"/>
  <c r="I374" i="17"/>
  <c r="N374" i="17" s="1"/>
  <c r="I375" i="17"/>
  <c r="I376" i="17"/>
  <c r="N376" i="17" s="1"/>
  <c r="I377" i="17"/>
  <c r="N377" i="17" s="1"/>
  <c r="I378" i="17"/>
  <c r="N378" i="17" s="1"/>
  <c r="I379" i="17"/>
  <c r="N379" i="17" s="1"/>
  <c r="I380" i="17"/>
  <c r="N380" i="17" s="1"/>
  <c r="I381" i="17"/>
  <c r="N381" i="17" s="1"/>
  <c r="I382" i="17"/>
  <c r="N382" i="17" s="1"/>
  <c r="I383" i="17"/>
  <c r="I384" i="17"/>
  <c r="N384" i="17" s="1"/>
  <c r="I385" i="17"/>
  <c r="N385" i="17" s="1"/>
  <c r="I386" i="17"/>
  <c r="N386" i="17" s="1"/>
  <c r="I387" i="17"/>
  <c r="N387" i="17" s="1"/>
  <c r="I388" i="17"/>
  <c r="N388" i="17" s="1"/>
  <c r="I389" i="17"/>
  <c r="N389" i="17" s="1"/>
  <c r="I390" i="17"/>
  <c r="N390" i="17" s="1"/>
  <c r="I391" i="17"/>
  <c r="I392" i="17"/>
  <c r="N392" i="17" s="1"/>
  <c r="I393" i="17"/>
  <c r="N393" i="17" s="1"/>
  <c r="I394" i="17"/>
  <c r="N394" i="17" s="1"/>
  <c r="I395" i="17"/>
  <c r="N395" i="17" s="1"/>
  <c r="I396" i="17"/>
  <c r="N396" i="17" s="1"/>
  <c r="I397" i="17"/>
  <c r="N397" i="17" s="1"/>
  <c r="I398" i="17"/>
  <c r="N398" i="17" s="1"/>
  <c r="I399" i="17"/>
  <c r="I400" i="17"/>
  <c r="N400" i="17" s="1"/>
  <c r="I401" i="17"/>
  <c r="N401" i="17" s="1"/>
  <c r="I402" i="17"/>
  <c r="N402" i="17" s="1"/>
  <c r="I403" i="17"/>
  <c r="N403" i="17" s="1"/>
  <c r="I404" i="17"/>
  <c r="N404" i="17" s="1"/>
  <c r="I405" i="17"/>
  <c r="N405" i="17" s="1"/>
  <c r="I406" i="17"/>
  <c r="N406" i="17" s="1"/>
  <c r="I407" i="17"/>
  <c r="I408" i="17"/>
  <c r="N408" i="17" s="1"/>
  <c r="I409" i="17"/>
  <c r="N409" i="17" s="1"/>
  <c r="I410" i="17"/>
  <c r="N410" i="17" s="1"/>
  <c r="I411" i="17"/>
  <c r="N411" i="17" s="1"/>
  <c r="I412" i="17"/>
  <c r="N412" i="17" s="1"/>
  <c r="I413" i="17"/>
  <c r="N413" i="17" s="1"/>
  <c r="I414" i="17"/>
  <c r="N414" i="17" s="1"/>
  <c r="I415" i="17"/>
  <c r="I416" i="17"/>
  <c r="N416" i="17" s="1"/>
  <c r="I417" i="17"/>
  <c r="N417" i="17" s="1"/>
  <c r="I418" i="17"/>
  <c r="N418" i="17" s="1"/>
  <c r="I419" i="17"/>
  <c r="N419" i="17" s="1"/>
  <c r="I420" i="17"/>
  <c r="N420" i="17" s="1"/>
  <c r="I421" i="17"/>
  <c r="N421" i="17" s="1"/>
  <c r="I422" i="17"/>
  <c r="N422" i="17" s="1"/>
  <c r="I423" i="17"/>
  <c r="I424" i="17"/>
  <c r="N424" i="17" s="1"/>
  <c r="I425" i="17"/>
  <c r="N425" i="17" s="1"/>
  <c r="I426" i="17"/>
  <c r="N426" i="17" s="1"/>
  <c r="I427" i="17"/>
  <c r="N427" i="17" s="1"/>
  <c r="I428" i="17"/>
  <c r="N428" i="17" s="1"/>
  <c r="I429" i="17"/>
  <c r="N429" i="17" s="1"/>
  <c r="I430" i="17"/>
  <c r="N430" i="17" s="1"/>
  <c r="I431" i="17"/>
  <c r="I432" i="17"/>
  <c r="N432" i="17" s="1"/>
  <c r="I433" i="17"/>
  <c r="N433" i="17" s="1"/>
  <c r="I434" i="17"/>
  <c r="N434" i="17" s="1"/>
  <c r="I435" i="17"/>
  <c r="N435" i="17" s="1"/>
  <c r="I436" i="17"/>
  <c r="N436" i="17" s="1"/>
  <c r="I437" i="17"/>
  <c r="N437" i="17" s="1"/>
  <c r="I438" i="17"/>
  <c r="N438" i="17" s="1"/>
  <c r="I439" i="17"/>
  <c r="I440" i="17"/>
  <c r="N440" i="17" s="1"/>
  <c r="I441" i="17"/>
  <c r="N441" i="17" s="1"/>
  <c r="I442" i="17"/>
  <c r="N442" i="17" s="1"/>
  <c r="I443" i="17"/>
  <c r="N443" i="17" s="1"/>
  <c r="I444" i="17"/>
  <c r="N444" i="17" s="1"/>
  <c r="I445" i="17"/>
  <c r="N445" i="17" s="1"/>
  <c r="I446" i="17"/>
  <c r="N446" i="17" s="1"/>
  <c r="I447" i="17"/>
  <c r="I448" i="17"/>
  <c r="N448" i="17" s="1"/>
  <c r="I449" i="17"/>
  <c r="N449" i="17" s="1"/>
  <c r="I450" i="17"/>
  <c r="N450" i="17" s="1"/>
  <c r="I451" i="17"/>
  <c r="N451" i="17" s="1"/>
  <c r="I452" i="17"/>
  <c r="N452" i="17" s="1"/>
  <c r="I453" i="17"/>
  <c r="N453" i="17" s="1"/>
  <c r="I454" i="17"/>
  <c r="N454" i="17" s="1"/>
  <c r="I455" i="17"/>
  <c r="I456" i="17"/>
  <c r="N456" i="17" s="1"/>
  <c r="I457" i="17"/>
  <c r="N457" i="17" s="1"/>
  <c r="I458" i="17"/>
  <c r="N458" i="17" s="1"/>
  <c r="I459" i="17"/>
  <c r="N459" i="17" s="1"/>
  <c r="I460" i="17"/>
  <c r="N460" i="17" s="1"/>
  <c r="I461" i="17"/>
  <c r="N461" i="17" s="1"/>
  <c r="I462" i="17"/>
  <c r="N462" i="17" s="1"/>
  <c r="I463" i="17"/>
  <c r="I464" i="17"/>
  <c r="N464" i="17" s="1"/>
  <c r="I465" i="17"/>
  <c r="N465" i="17" s="1"/>
  <c r="I466" i="17"/>
  <c r="N466" i="17" s="1"/>
  <c r="I467" i="17"/>
  <c r="N467" i="17" s="1"/>
  <c r="I468" i="17"/>
  <c r="N468" i="17" s="1"/>
  <c r="I469" i="17"/>
  <c r="N469" i="17" s="1"/>
  <c r="I470" i="17"/>
  <c r="N470" i="17" s="1"/>
  <c r="I471" i="17"/>
  <c r="I472" i="17"/>
  <c r="N472" i="17" s="1"/>
  <c r="I473" i="17"/>
  <c r="N473" i="17" s="1"/>
  <c r="I474" i="17"/>
  <c r="N474" i="17" s="1"/>
  <c r="I475" i="17"/>
  <c r="N475" i="17" s="1"/>
  <c r="I476" i="17"/>
  <c r="N476" i="17" s="1"/>
  <c r="I477" i="17"/>
  <c r="N477" i="17" s="1"/>
  <c r="I478" i="17"/>
  <c r="N478" i="17" s="1"/>
  <c r="I479" i="17"/>
  <c r="I480" i="17"/>
  <c r="N480" i="17" s="1"/>
  <c r="I481" i="17"/>
  <c r="N481" i="17" s="1"/>
  <c r="I482" i="17"/>
  <c r="N482" i="17" s="1"/>
  <c r="I483" i="17"/>
  <c r="N483" i="17" s="1"/>
  <c r="I484" i="17"/>
  <c r="N484" i="17" s="1"/>
  <c r="I485" i="17"/>
  <c r="N485" i="17" s="1"/>
  <c r="I486" i="17"/>
  <c r="N486" i="17" s="1"/>
  <c r="I487" i="17"/>
  <c r="I488" i="17"/>
  <c r="N488" i="17" s="1"/>
  <c r="I489" i="17"/>
  <c r="N489" i="17" s="1"/>
  <c r="I490" i="17"/>
  <c r="N490" i="17" s="1"/>
  <c r="I491" i="17"/>
  <c r="N491" i="17" s="1"/>
  <c r="I492" i="17"/>
  <c r="N492" i="17" s="1"/>
  <c r="I493" i="17"/>
  <c r="N493" i="17" s="1"/>
  <c r="I494" i="17"/>
  <c r="N494" i="17" s="1"/>
  <c r="I495" i="17"/>
  <c r="I496" i="17"/>
  <c r="N496" i="17" s="1"/>
  <c r="I497" i="17"/>
  <c r="N497" i="17" s="1"/>
  <c r="I498" i="17"/>
  <c r="N498" i="17" s="1"/>
  <c r="I499" i="17"/>
  <c r="N499" i="17" s="1"/>
  <c r="I500" i="17"/>
  <c r="N500" i="17" s="1"/>
  <c r="I501" i="17"/>
  <c r="N501" i="17" s="1"/>
  <c r="I502" i="17"/>
  <c r="N502" i="17" s="1"/>
  <c r="I503" i="17"/>
  <c r="I504" i="17"/>
  <c r="N504" i="17" s="1"/>
  <c r="I505" i="17"/>
  <c r="N505" i="17" s="1"/>
  <c r="I506" i="17"/>
  <c r="N506" i="17" s="1"/>
  <c r="I507" i="17"/>
  <c r="N507" i="17" s="1"/>
  <c r="I508" i="17"/>
  <c r="N508" i="17" s="1"/>
  <c r="I509" i="17"/>
  <c r="N509" i="17" s="1"/>
  <c r="I510" i="17"/>
  <c r="N510" i="17" s="1"/>
  <c r="I511" i="17"/>
  <c r="I512" i="17"/>
  <c r="N512" i="17" s="1"/>
  <c r="I513" i="17"/>
  <c r="N513" i="17" s="1"/>
  <c r="I514" i="17"/>
  <c r="N514" i="17" s="1"/>
  <c r="I515" i="17"/>
  <c r="N515" i="17" s="1"/>
  <c r="I516" i="17"/>
  <c r="N516" i="17" s="1"/>
  <c r="I517" i="17"/>
  <c r="N517" i="17" s="1"/>
  <c r="I518" i="17"/>
  <c r="N518" i="17" s="1"/>
  <c r="I519" i="17"/>
  <c r="I520" i="17"/>
  <c r="N520" i="17" s="1"/>
  <c r="I521" i="17"/>
  <c r="N521" i="17" s="1"/>
  <c r="I522" i="17"/>
  <c r="N522" i="17" s="1"/>
  <c r="I523" i="17"/>
  <c r="N523" i="17" s="1"/>
  <c r="I524" i="17"/>
  <c r="N524" i="17" s="1"/>
  <c r="I525" i="17"/>
  <c r="N525" i="17" s="1"/>
  <c r="I526" i="17"/>
  <c r="N526" i="17" s="1"/>
  <c r="I527" i="17"/>
  <c r="I528" i="17"/>
  <c r="N528" i="17" s="1"/>
  <c r="I529" i="17"/>
  <c r="N529" i="17" s="1"/>
  <c r="I530" i="17"/>
  <c r="N530" i="17" s="1"/>
  <c r="I531" i="17"/>
  <c r="N531" i="17" s="1"/>
  <c r="I532" i="17"/>
  <c r="N532" i="17" s="1"/>
  <c r="I533" i="17"/>
  <c r="N533" i="17" s="1"/>
  <c r="I534" i="17"/>
  <c r="N534" i="17" s="1"/>
  <c r="I535" i="17"/>
  <c r="I536" i="17"/>
  <c r="N536" i="17" s="1"/>
  <c r="I537" i="17"/>
  <c r="N537" i="17" s="1"/>
  <c r="I538" i="17"/>
  <c r="N538" i="17" s="1"/>
  <c r="I539" i="17"/>
  <c r="N539" i="17" s="1"/>
  <c r="I540" i="17"/>
  <c r="N540" i="17" s="1"/>
  <c r="I541" i="17"/>
  <c r="N541" i="17" s="1"/>
  <c r="I542" i="17"/>
  <c r="N542" i="17" s="1"/>
  <c r="I543" i="17"/>
  <c r="I544" i="17"/>
  <c r="N544" i="17" s="1"/>
  <c r="I545" i="17"/>
  <c r="N545" i="17" s="1"/>
  <c r="I546" i="17"/>
  <c r="N546" i="17" s="1"/>
  <c r="I547" i="17"/>
  <c r="N547" i="17" s="1"/>
  <c r="I548" i="17"/>
  <c r="N548" i="17" s="1"/>
  <c r="I549" i="17"/>
  <c r="N549" i="17" s="1"/>
  <c r="I550" i="17"/>
  <c r="N550" i="17" s="1"/>
  <c r="I551" i="17"/>
  <c r="I552" i="17"/>
  <c r="N552" i="17" s="1"/>
  <c r="I553" i="17"/>
  <c r="N553" i="17" s="1"/>
  <c r="I554" i="17"/>
  <c r="N554" i="17" s="1"/>
  <c r="I555" i="17"/>
  <c r="N555" i="17" s="1"/>
  <c r="I556" i="17"/>
  <c r="N556" i="17" s="1"/>
  <c r="I557" i="17"/>
  <c r="N557" i="17" s="1"/>
  <c r="I558" i="17"/>
  <c r="N558" i="17" s="1"/>
  <c r="I559" i="17"/>
  <c r="I560" i="17"/>
  <c r="N560" i="17" s="1"/>
  <c r="I561" i="17"/>
  <c r="N561" i="17" s="1"/>
  <c r="I562" i="17"/>
  <c r="N562" i="17" s="1"/>
  <c r="I563" i="17"/>
  <c r="N563" i="17" s="1"/>
  <c r="I564" i="17"/>
  <c r="N564" i="17" s="1"/>
  <c r="I565" i="17"/>
  <c r="N565" i="17" s="1"/>
  <c r="I566" i="17"/>
  <c r="N566" i="17" s="1"/>
  <c r="I567" i="17"/>
  <c r="I568" i="17"/>
  <c r="N568" i="17" s="1"/>
  <c r="I569" i="17"/>
  <c r="N569" i="17" s="1"/>
  <c r="I570" i="17"/>
  <c r="N570" i="17" s="1"/>
  <c r="I571" i="17"/>
  <c r="N571" i="17" s="1"/>
  <c r="I572" i="17"/>
  <c r="N572" i="17" s="1"/>
  <c r="I573" i="17"/>
  <c r="N573" i="17" s="1"/>
  <c r="I574" i="17"/>
  <c r="N574" i="17" s="1"/>
  <c r="I575" i="17"/>
  <c r="I576" i="17"/>
  <c r="N576" i="17" s="1"/>
  <c r="I577" i="17"/>
  <c r="N577" i="17" s="1"/>
  <c r="I578" i="17"/>
  <c r="N578" i="17" s="1"/>
  <c r="I579" i="17"/>
  <c r="N579" i="17" s="1"/>
  <c r="I580" i="17"/>
  <c r="N580" i="17" s="1"/>
  <c r="I581" i="17"/>
  <c r="N581" i="17" s="1"/>
  <c r="I582" i="17"/>
  <c r="N582" i="17" s="1"/>
  <c r="I583" i="17"/>
  <c r="I584" i="17"/>
  <c r="N584" i="17" s="1"/>
  <c r="I585" i="17"/>
  <c r="N585" i="17" s="1"/>
  <c r="I586" i="17"/>
  <c r="N586" i="17" s="1"/>
  <c r="I587" i="17"/>
  <c r="N587" i="17" s="1"/>
  <c r="I588" i="17"/>
  <c r="N588" i="17" s="1"/>
  <c r="I589" i="17"/>
  <c r="N589" i="17" s="1"/>
  <c r="I590" i="17"/>
  <c r="N590" i="17" s="1"/>
  <c r="I591" i="17"/>
  <c r="I592" i="17"/>
  <c r="N592" i="17" s="1"/>
  <c r="I593" i="17"/>
  <c r="N593" i="17" s="1"/>
  <c r="I594" i="17"/>
  <c r="N594" i="17" s="1"/>
  <c r="I595" i="17"/>
  <c r="N595" i="17" s="1"/>
  <c r="I596" i="17"/>
  <c r="N596" i="17" s="1"/>
  <c r="I597" i="17"/>
  <c r="N597" i="17" s="1"/>
  <c r="I598" i="17"/>
  <c r="N598" i="17" s="1"/>
  <c r="I599" i="17"/>
  <c r="I600" i="17"/>
  <c r="N600" i="17" s="1"/>
  <c r="I601" i="17"/>
  <c r="N601" i="17" s="1"/>
  <c r="I602" i="17"/>
  <c r="N602" i="17" s="1"/>
  <c r="I603" i="17"/>
  <c r="N603" i="17" s="1"/>
  <c r="I604" i="17"/>
  <c r="N604" i="17" s="1"/>
  <c r="I605" i="17"/>
  <c r="N605" i="17" s="1"/>
  <c r="I606" i="17"/>
  <c r="N606" i="17" s="1"/>
  <c r="I607" i="17"/>
  <c r="I608" i="17"/>
  <c r="N608" i="17" s="1"/>
  <c r="I609" i="17"/>
  <c r="N609" i="17" s="1"/>
  <c r="I610" i="17"/>
  <c r="N610" i="17" s="1"/>
  <c r="I611" i="17"/>
  <c r="N611" i="17" s="1"/>
  <c r="I612" i="17"/>
  <c r="N612" i="17" s="1"/>
  <c r="I613" i="17"/>
  <c r="N613" i="17" s="1"/>
  <c r="I614" i="17"/>
  <c r="N614" i="17" s="1"/>
  <c r="I615" i="17"/>
  <c r="I616" i="17"/>
  <c r="N616" i="17" s="1"/>
  <c r="I617" i="17"/>
  <c r="N617" i="17" s="1"/>
  <c r="I618" i="17"/>
  <c r="N618" i="17" s="1"/>
  <c r="I619" i="17"/>
  <c r="N619" i="17" s="1"/>
  <c r="I620" i="17"/>
  <c r="N620" i="17" s="1"/>
  <c r="I621" i="17"/>
  <c r="N621" i="17" s="1"/>
  <c r="I622" i="17"/>
  <c r="N622" i="17" s="1"/>
  <c r="I623" i="17"/>
  <c r="I624" i="17"/>
  <c r="N624" i="17" s="1"/>
  <c r="I625" i="17"/>
  <c r="N625" i="17" s="1"/>
  <c r="I626" i="17"/>
  <c r="N626" i="17" s="1"/>
  <c r="I627" i="17"/>
  <c r="N627" i="17" s="1"/>
  <c r="I628" i="17"/>
  <c r="N628" i="17" s="1"/>
  <c r="I629" i="17"/>
  <c r="N629" i="17" s="1"/>
  <c r="I630" i="17"/>
  <c r="N630" i="17" s="1"/>
  <c r="I631" i="17"/>
  <c r="I632" i="17"/>
  <c r="N632" i="17" s="1"/>
  <c r="I633" i="17"/>
  <c r="N633" i="17" s="1"/>
  <c r="I634" i="17"/>
  <c r="N634" i="17" s="1"/>
  <c r="I635" i="17"/>
  <c r="N635" i="17" s="1"/>
  <c r="I636" i="17"/>
  <c r="N636" i="17" s="1"/>
  <c r="I637" i="17"/>
  <c r="N637" i="17" s="1"/>
  <c r="I638" i="17"/>
  <c r="N638" i="17" s="1"/>
  <c r="I639" i="17"/>
  <c r="I640" i="17"/>
  <c r="N640" i="17" s="1"/>
  <c r="I641" i="17"/>
  <c r="N641" i="17" s="1"/>
  <c r="I642" i="17"/>
  <c r="N642" i="17" s="1"/>
  <c r="I643" i="17"/>
  <c r="N643" i="17" s="1"/>
  <c r="I644" i="17"/>
  <c r="N644" i="17" s="1"/>
  <c r="I645" i="17"/>
  <c r="N645" i="17" s="1"/>
  <c r="I646" i="17"/>
  <c r="N646" i="17" s="1"/>
  <c r="I647" i="17"/>
  <c r="I648" i="17"/>
  <c r="N648" i="17" s="1"/>
  <c r="I649" i="17"/>
  <c r="N649" i="17" s="1"/>
  <c r="I650" i="17"/>
  <c r="N650" i="17" s="1"/>
  <c r="I651" i="17"/>
  <c r="N651" i="17" s="1"/>
  <c r="I652" i="17"/>
  <c r="N652" i="17" s="1"/>
  <c r="I653" i="17"/>
  <c r="N653" i="17" s="1"/>
  <c r="I654" i="17"/>
  <c r="N654" i="17" s="1"/>
  <c r="I655" i="17"/>
  <c r="I656" i="17"/>
  <c r="N656" i="17" s="1"/>
  <c r="I657" i="17"/>
  <c r="N657" i="17" s="1"/>
  <c r="I658" i="17"/>
  <c r="N658" i="17" s="1"/>
  <c r="I659" i="17"/>
  <c r="N659" i="17" s="1"/>
  <c r="I660" i="17"/>
  <c r="N660" i="17" s="1"/>
  <c r="I661" i="17"/>
  <c r="N661" i="17" s="1"/>
  <c r="I662" i="17"/>
  <c r="N662" i="17" s="1"/>
  <c r="I663" i="17"/>
  <c r="I664" i="17"/>
  <c r="N664" i="17" s="1"/>
  <c r="I665" i="17"/>
  <c r="N665" i="17" s="1"/>
  <c r="I666" i="17"/>
  <c r="N666" i="17" s="1"/>
  <c r="I667" i="17"/>
  <c r="N667" i="17" s="1"/>
  <c r="I668" i="17"/>
  <c r="N668" i="17" s="1"/>
  <c r="I669" i="17"/>
  <c r="N669" i="17" s="1"/>
  <c r="I670" i="17"/>
  <c r="N670" i="17" s="1"/>
  <c r="I671" i="17"/>
  <c r="I672" i="17"/>
  <c r="N672" i="17" s="1"/>
  <c r="I673" i="17"/>
  <c r="N673" i="17" s="1"/>
  <c r="I674" i="17"/>
  <c r="N674" i="17" s="1"/>
  <c r="I675" i="17"/>
  <c r="N675" i="17" s="1"/>
  <c r="I676" i="17"/>
  <c r="N676" i="17" s="1"/>
  <c r="I677" i="17"/>
  <c r="N677" i="17" s="1"/>
  <c r="I678" i="17"/>
  <c r="N678" i="17" s="1"/>
  <c r="I679" i="17"/>
  <c r="I680" i="17"/>
  <c r="N680" i="17" s="1"/>
  <c r="I681" i="17"/>
  <c r="N681" i="17" s="1"/>
  <c r="I682" i="17"/>
  <c r="N682" i="17" s="1"/>
  <c r="I683" i="17"/>
  <c r="N683" i="17" s="1"/>
  <c r="I684" i="17"/>
  <c r="N684" i="17" s="1"/>
  <c r="I685" i="17"/>
  <c r="N685" i="17" s="1"/>
  <c r="I686" i="17"/>
  <c r="N686" i="17" s="1"/>
  <c r="I687" i="17"/>
  <c r="I688" i="17"/>
  <c r="N688" i="17" s="1"/>
  <c r="I689" i="17"/>
  <c r="N689" i="17" s="1"/>
  <c r="I690" i="17"/>
  <c r="N690" i="17" s="1"/>
  <c r="I691" i="17"/>
  <c r="N691" i="17" s="1"/>
  <c r="I692" i="17"/>
  <c r="N692" i="17" s="1"/>
  <c r="I693" i="17"/>
  <c r="N693" i="17" s="1"/>
  <c r="I694" i="17"/>
  <c r="N694" i="17" s="1"/>
  <c r="I695" i="17"/>
  <c r="I696" i="17"/>
  <c r="N696" i="17" s="1"/>
  <c r="I697" i="17"/>
  <c r="N697" i="17" s="1"/>
  <c r="I698" i="17"/>
  <c r="N698" i="17" s="1"/>
  <c r="I699" i="17"/>
  <c r="N699" i="17" s="1"/>
  <c r="I700" i="17"/>
  <c r="N700" i="17" s="1"/>
  <c r="I701" i="17"/>
  <c r="N701" i="17" s="1"/>
  <c r="I702" i="17"/>
  <c r="N702" i="17" s="1"/>
  <c r="I703" i="17"/>
  <c r="I704" i="17"/>
  <c r="N704" i="17" s="1"/>
  <c r="I705" i="17"/>
  <c r="N705" i="17" s="1"/>
  <c r="I706" i="17"/>
  <c r="N706" i="17" s="1"/>
  <c r="I707" i="17"/>
  <c r="N707" i="17" s="1"/>
  <c r="I708" i="17"/>
  <c r="N708" i="17" s="1"/>
  <c r="I709" i="17"/>
  <c r="N709" i="17" s="1"/>
  <c r="I710" i="17"/>
  <c r="N710" i="17" s="1"/>
  <c r="I711" i="17"/>
  <c r="I712" i="17"/>
  <c r="N712" i="17" s="1"/>
  <c r="I713" i="17"/>
  <c r="N713" i="17" s="1"/>
  <c r="I714" i="17"/>
  <c r="N714" i="17" s="1"/>
  <c r="I715" i="17"/>
  <c r="N715" i="17" s="1"/>
  <c r="I716" i="17"/>
  <c r="N716" i="17" s="1"/>
  <c r="I717" i="17"/>
  <c r="N717" i="17" s="1"/>
  <c r="I718" i="17"/>
  <c r="N718" i="17" s="1"/>
  <c r="I719" i="17"/>
  <c r="I720" i="17"/>
  <c r="N720" i="17" s="1"/>
  <c r="I721" i="17"/>
  <c r="N721" i="17" s="1"/>
  <c r="I722" i="17"/>
  <c r="N722" i="17" s="1"/>
  <c r="I723" i="17"/>
  <c r="N723" i="17" s="1"/>
  <c r="I724" i="17"/>
  <c r="N724" i="17" s="1"/>
  <c r="I725" i="17"/>
  <c r="N725" i="17" s="1"/>
  <c r="I726" i="17"/>
  <c r="N726" i="17" s="1"/>
  <c r="I727" i="17"/>
  <c r="I728" i="17"/>
  <c r="N728" i="17" s="1"/>
  <c r="I729" i="17"/>
  <c r="N729" i="17" s="1"/>
  <c r="I730" i="17"/>
  <c r="N730" i="17" s="1"/>
  <c r="I731" i="17"/>
  <c r="N731" i="17" s="1"/>
  <c r="I732" i="17"/>
  <c r="N732" i="17" s="1"/>
  <c r="I733" i="17"/>
  <c r="N733" i="17" s="1"/>
  <c r="I734" i="17"/>
  <c r="N734" i="17" s="1"/>
  <c r="I735" i="17"/>
  <c r="I736" i="17"/>
  <c r="N736" i="17" s="1"/>
  <c r="I737" i="17"/>
  <c r="N737" i="17" s="1"/>
  <c r="I738" i="17"/>
  <c r="N738" i="17" s="1"/>
  <c r="I739" i="17"/>
  <c r="N739" i="17" s="1"/>
  <c r="I740" i="17"/>
  <c r="N740" i="17" s="1"/>
  <c r="I741" i="17"/>
  <c r="N741" i="17" s="1"/>
  <c r="I742" i="17"/>
  <c r="N742" i="17" s="1"/>
  <c r="I743" i="17"/>
  <c r="I744" i="17"/>
  <c r="N744" i="17" s="1"/>
  <c r="I745" i="17"/>
  <c r="N745" i="17" s="1"/>
  <c r="I746" i="17"/>
  <c r="N746" i="17" s="1"/>
  <c r="I747" i="17"/>
  <c r="N747" i="17" s="1"/>
  <c r="I748" i="17"/>
  <c r="N748" i="17" s="1"/>
  <c r="I749" i="17"/>
  <c r="N749" i="17" s="1"/>
  <c r="I750" i="17"/>
  <c r="N750" i="17" s="1"/>
  <c r="I751" i="17"/>
  <c r="I752" i="17"/>
  <c r="N752" i="17" s="1"/>
  <c r="I753" i="17"/>
  <c r="N753" i="17" s="1"/>
  <c r="I754" i="17"/>
  <c r="N754" i="17" s="1"/>
  <c r="I755" i="17"/>
  <c r="N755" i="17" s="1"/>
  <c r="I756" i="17"/>
  <c r="N756" i="17" s="1"/>
  <c r="I757" i="17"/>
  <c r="N757" i="17" s="1"/>
  <c r="I758" i="17"/>
  <c r="N758" i="17" s="1"/>
  <c r="I759" i="17"/>
  <c r="I760" i="17"/>
  <c r="N760" i="17" s="1"/>
  <c r="I761" i="17"/>
  <c r="N761" i="17" s="1"/>
  <c r="I762" i="17"/>
  <c r="N762" i="17" s="1"/>
  <c r="I763" i="17"/>
  <c r="N763" i="17" s="1"/>
  <c r="I764" i="17"/>
  <c r="N764" i="17" s="1"/>
  <c r="I765" i="17"/>
  <c r="N765" i="17" s="1"/>
  <c r="I766" i="17"/>
  <c r="N766" i="17" s="1"/>
  <c r="I767" i="17"/>
  <c r="I768" i="17"/>
  <c r="N768" i="17" s="1"/>
  <c r="I769" i="17"/>
  <c r="N769" i="17" s="1"/>
  <c r="I770" i="17"/>
  <c r="N770" i="17" s="1"/>
  <c r="I771" i="17"/>
  <c r="N771" i="17" s="1"/>
  <c r="I772" i="17"/>
  <c r="N772" i="17" s="1"/>
  <c r="I773" i="17"/>
  <c r="N773" i="17" s="1"/>
  <c r="I774" i="17"/>
  <c r="N774" i="17" s="1"/>
  <c r="I775" i="17"/>
  <c r="I776" i="17"/>
  <c r="N776" i="17" s="1"/>
  <c r="I777" i="17"/>
  <c r="N777" i="17" s="1"/>
  <c r="I778" i="17"/>
  <c r="N778" i="17" s="1"/>
  <c r="I779" i="17"/>
  <c r="N779" i="17" s="1"/>
  <c r="I780" i="17"/>
  <c r="N780" i="17" s="1"/>
  <c r="I781" i="17"/>
  <c r="N781" i="17" s="1"/>
  <c r="I782" i="17"/>
  <c r="N782" i="17" s="1"/>
  <c r="I783" i="17"/>
  <c r="I784" i="17"/>
  <c r="N784" i="17" s="1"/>
  <c r="I785" i="17"/>
  <c r="N785" i="17" s="1"/>
  <c r="I786" i="17"/>
  <c r="N786" i="17" s="1"/>
  <c r="I787" i="17"/>
  <c r="N787" i="17" s="1"/>
  <c r="I788" i="17"/>
  <c r="N788" i="17" s="1"/>
  <c r="I789" i="17"/>
  <c r="N789" i="17" s="1"/>
  <c r="I790" i="17"/>
  <c r="N790" i="17" s="1"/>
  <c r="I791" i="17"/>
  <c r="I792" i="17"/>
  <c r="N792" i="17" s="1"/>
  <c r="I793" i="17"/>
  <c r="N793" i="17" s="1"/>
  <c r="I794" i="17"/>
  <c r="N794" i="17" s="1"/>
  <c r="I795" i="17"/>
  <c r="N795" i="17" s="1"/>
  <c r="I796" i="17"/>
  <c r="N796" i="17" s="1"/>
  <c r="I797" i="17"/>
  <c r="N797" i="17" s="1"/>
  <c r="I798" i="17"/>
  <c r="N798" i="17" s="1"/>
  <c r="I799" i="17"/>
  <c r="I800" i="17"/>
  <c r="N800" i="17" s="1"/>
  <c r="I801" i="17"/>
  <c r="N801" i="17" s="1"/>
  <c r="I802" i="17"/>
  <c r="N802" i="17" s="1"/>
  <c r="I803" i="17"/>
  <c r="N803" i="17" s="1"/>
  <c r="I804" i="17"/>
  <c r="N804" i="17" s="1"/>
  <c r="I805" i="17"/>
  <c r="N805" i="17" s="1"/>
  <c r="I806" i="17"/>
  <c r="N806" i="17" s="1"/>
  <c r="I807" i="17"/>
  <c r="I808" i="17"/>
  <c r="N808" i="17" s="1"/>
  <c r="I809" i="17"/>
  <c r="N809" i="17" s="1"/>
  <c r="I810" i="17"/>
  <c r="N810" i="17" s="1"/>
  <c r="I811" i="17"/>
  <c r="N811" i="17" s="1"/>
  <c r="I812" i="17"/>
  <c r="N812" i="17" s="1"/>
  <c r="I813" i="17"/>
  <c r="N813" i="17" s="1"/>
  <c r="I814" i="17"/>
  <c r="N814" i="17" s="1"/>
  <c r="I815" i="17"/>
  <c r="I816" i="17"/>
  <c r="N816" i="17" s="1"/>
  <c r="I817" i="17"/>
  <c r="N817" i="17" s="1"/>
  <c r="I818" i="17"/>
  <c r="N818" i="17" s="1"/>
  <c r="I819" i="17"/>
  <c r="N819" i="17" s="1"/>
  <c r="I820" i="17"/>
  <c r="N820" i="17" s="1"/>
  <c r="I821" i="17"/>
  <c r="N821" i="17" s="1"/>
  <c r="I822" i="17"/>
  <c r="N822" i="17" s="1"/>
  <c r="I823" i="17"/>
  <c r="I824" i="17"/>
  <c r="N824" i="17" s="1"/>
  <c r="I825" i="17"/>
  <c r="N825" i="17" s="1"/>
  <c r="I826" i="17"/>
  <c r="N826" i="17" s="1"/>
  <c r="I827" i="17"/>
  <c r="N827" i="17" s="1"/>
  <c r="I828" i="17"/>
  <c r="N828" i="17" s="1"/>
  <c r="I829" i="17"/>
  <c r="N829" i="17" s="1"/>
  <c r="I830" i="17"/>
  <c r="N830" i="17" s="1"/>
  <c r="I831" i="17"/>
  <c r="I832" i="17"/>
  <c r="N832" i="17" s="1"/>
  <c r="I833" i="17"/>
  <c r="N833" i="17" s="1"/>
  <c r="I834" i="17"/>
  <c r="N834" i="17" s="1"/>
  <c r="I835" i="17"/>
  <c r="N835" i="17" s="1"/>
  <c r="I836" i="17"/>
  <c r="N836" i="17" s="1"/>
  <c r="I837" i="17"/>
  <c r="N837" i="17" s="1"/>
  <c r="I838" i="17"/>
  <c r="N838" i="17" s="1"/>
  <c r="I839" i="17"/>
  <c r="I840" i="17"/>
  <c r="N840" i="17" s="1"/>
  <c r="I841" i="17"/>
  <c r="N841" i="17" s="1"/>
  <c r="I842" i="17"/>
  <c r="N842" i="17" s="1"/>
  <c r="I843" i="17"/>
  <c r="N843" i="17" s="1"/>
  <c r="I844" i="17"/>
  <c r="N844" i="17" s="1"/>
  <c r="I845" i="17"/>
  <c r="N845" i="17" s="1"/>
  <c r="I846" i="17"/>
  <c r="N846" i="17" s="1"/>
  <c r="I847" i="17"/>
  <c r="I848" i="17"/>
  <c r="N848" i="17" s="1"/>
  <c r="I849" i="17"/>
  <c r="N849" i="17" s="1"/>
  <c r="I850" i="17"/>
  <c r="N850" i="17" s="1"/>
  <c r="I851" i="17"/>
  <c r="N851" i="17" s="1"/>
  <c r="I852" i="17"/>
  <c r="N852" i="17" s="1"/>
  <c r="I853" i="17"/>
  <c r="N853" i="17" s="1"/>
  <c r="I854" i="17"/>
  <c r="N854" i="17" s="1"/>
  <c r="I855" i="17"/>
  <c r="I856" i="17"/>
  <c r="N856" i="17" s="1"/>
  <c r="I857" i="17"/>
  <c r="N857" i="17" s="1"/>
  <c r="I858" i="17"/>
  <c r="N858" i="17" s="1"/>
  <c r="I859" i="17"/>
  <c r="N859" i="17" s="1"/>
  <c r="I860" i="17"/>
  <c r="N860" i="17" s="1"/>
  <c r="I861" i="17"/>
  <c r="N861" i="17" s="1"/>
  <c r="I862" i="17"/>
  <c r="N862" i="17" s="1"/>
  <c r="I863" i="17"/>
  <c r="I864" i="17"/>
  <c r="N864" i="17" s="1"/>
  <c r="I865" i="17"/>
  <c r="N865" i="17" s="1"/>
  <c r="I866" i="17"/>
  <c r="N866" i="17" s="1"/>
  <c r="I867" i="17"/>
  <c r="N867" i="17" s="1"/>
  <c r="I868" i="17"/>
  <c r="N868" i="17" s="1"/>
  <c r="I869" i="17"/>
  <c r="N869" i="17" s="1"/>
  <c r="I870" i="17"/>
  <c r="N870" i="17" s="1"/>
  <c r="I871" i="17"/>
  <c r="I872" i="17"/>
  <c r="N872" i="17" s="1"/>
  <c r="I873" i="17"/>
  <c r="N873" i="17" s="1"/>
  <c r="I874" i="17"/>
  <c r="N874" i="17" s="1"/>
  <c r="I875" i="17"/>
  <c r="N875" i="17" s="1"/>
  <c r="I876" i="17"/>
  <c r="N876" i="17" s="1"/>
  <c r="I877" i="17"/>
  <c r="N877" i="17" s="1"/>
  <c r="I878" i="17"/>
  <c r="N878" i="17" s="1"/>
  <c r="I879" i="17"/>
  <c r="I880" i="17"/>
  <c r="N880" i="17" s="1"/>
  <c r="I881" i="17"/>
  <c r="N881" i="17" s="1"/>
  <c r="I882" i="17"/>
  <c r="N882" i="17" s="1"/>
  <c r="I883" i="17"/>
  <c r="N883" i="17" s="1"/>
  <c r="I884" i="17"/>
  <c r="N884" i="17" s="1"/>
  <c r="I885" i="17"/>
  <c r="N885" i="17" s="1"/>
  <c r="I886" i="17"/>
  <c r="N886" i="17" s="1"/>
  <c r="I887" i="17"/>
  <c r="I888" i="17"/>
  <c r="N888" i="17" s="1"/>
  <c r="I889" i="17"/>
  <c r="N889" i="17" s="1"/>
  <c r="I890" i="17"/>
  <c r="N890" i="17" s="1"/>
  <c r="I891" i="17"/>
  <c r="N891" i="17" s="1"/>
  <c r="I892" i="17"/>
  <c r="N892" i="17" s="1"/>
  <c r="I893" i="17"/>
  <c r="N893" i="17" s="1"/>
  <c r="I894" i="17"/>
  <c r="N894" i="17" s="1"/>
  <c r="I895" i="17"/>
  <c r="I896" i="17"/>
  <c r="N896" i="17" s="1"/>
  <c r="I897" i="17"/>
  <c r="N897" i="17" s="1"/>
  <c r="I898" i="17"/>
  <c r="N898" i="17" s="1"/>
  <c r="I899" i="17"/>
  <c r="N899" i="17" s="1"/>
  <c r="I900" i="17"/>
  <c r="N900" i="17" s="1"/>
  <c r="I901" i="17"/>
  <c r="N901" i="17" s="1"/>
  <c r="I902" i="17"/>
  <c r="N902" i="17" s="1"/>
  <c r="I903" i="17"/>
  <c r="I904" i="17"/>
  <c r="N904" i="17" s="1"/>
  <c r="I905" i="17"/>
  <c r="N905" i="17" s="1"/>
  <c r="I906" i="17"/>
  <c r="N906" i="17" s="1"/>
  <c r="I907" i="17"/>
  <c r="N907" i="17" s="1"/>
  <c r="I908" i="17"/>
  <c r="N908" i="17" s="1"/>
  <c r="I909" i="17"/>
  <c r="N909" i="17" s="1"/>
  <c r="I910" i="17"/>
  <c r="N910" i="17" s="1"/>
  <c r="I911" i="17"/>
  <c r="I912" i="17"/>
  <c r="N912" i="17" s="1"/>
  <c r="I913" i="17"/>
  <c r="N913" i="17" s="1"/>
  <c r="I914" i="17"/>
  <c r="N914" i="17" s="1"/>
  <c r="I915" i="17"/>
  <c r="N915" i="17" s="1"/>
  <c r="I916" i="17"/>
  <c r="N916" i="17" s="1"/>
  <c r="I917" i="17"/>
  <c r="N917" i="17" s="1"/>
  <c r="I918" i="17"/>
  <c r="N918" i="17" s="1"/>
  <c r="I919" i="17"/>
  <c r="I920" i="17"/>
  <c r="N920" i="17" s="1"/>
  <c r="I921" i="17"/>
  <c r="N921" i="17" s="1"/>
  <c r="I922" i="17"/>
  <c r="N922" i="17" s="1"/>
  <c r="I923" i="17"/>
  <c r="N923" i="17" s="1"/>
  <c r="I924" i="17"/>
  <c r="N924" i="17" s="1"/>
  <c r="I925" i="17"/>
  <c r="N925" i="17" s="1"/>
  <c r="I926" i="17"/>
  <c r="N926" i="17" s="1"/>
  <c r="I927" i="17"/>
  <c r="I928" i="17"/>
  <c r="N928" i="17" s="1"/>
  <c r="I929" i="17"/>
  <c r="N929" i="17" s="1"/>
  <c r="I930" i="17"/>
  <c r="N930" i="17" s="1"/>
  <c r="I931" i="17"/>
  <c r="N931" i="17" s="1"/>
  <c r="I932" i="17"/>
  <c r="N932" i="17" s="1"/>
  <c r="I933" i="17"/>
  <c r="N933" i="17" s="1"/>
  <c r="I934" i="17"/>
  <c r="N934" i="17" s="1"/>
  <c r="I935" i="17"/>
  <c r="I936" i="17"/>
  <c r="N936" i="17" s="1"/>
  <c r="I937" i="17"/>
  <c r="N937" i="17" s="1"/>
  <c r="I938" i="17"/>
  <c r="N938" i="17" s="1"/>
  <c r="I939" i="17"/>
  <c r="N939" i="17" s="1"/>
  <c r="I940" i="17"/>
  <c r="N940" i="17" s="1"/>
  <c r="I941" i="17"/>
  <c r="N941" i="17" s="1"/>
  <c r="I942" i="17"/>
  <c r="N942" i="17" s="1"/>
  <c r="I943" i="17"/>
  <c r="I944" i="17"/>
  <c r="N944" i="17" s="1"/>
  <c r="I945" i="17"/>
  <c r="N945" i="17" s="1"/>
  <c r="I946" i="17"/>
  <c r="N946" i="17" s="1"/>
  <c r="I947" i="17"/>
  <c r="N947" i="17" s="1"/>
  <c r="I948" i="17"/>
  <c r="N948" i="17" s="1"/>
  <c r="I949" i="17"/>
  <c r="N949" i="17" s="1"/>
  <c r="I950" i="17"/>
  <c r="N950" i="17" s="1"/>
  <c r="I951" i="17"/>
  <c r="I952" i="17"/>
  <c r="N952" i="17" s="1"/>
  <c r="I953" i="17"/>
  <c r="N953" i="17" s="1"/>
  <c r="I954" i="17"/>
  <c r="N954" i="17" s="1"/>
  <c r="I955" i="17"/>
  <c r="N955" i="17" s="1"/>
  <c r="I956" i="17"/>
  <c r="N956" i="17" s="1"/>
  <c r="I957" i="17"/>
  <c r="N957" i="17" s="1"/>
  <c r="I958" i="17"/>
  <c r="N958" i="17" s="1"/>
  <c r="I959" i="17"/>
  <c r="I960" i="17"/>
  <c r="N960" i="17" s="1"/>
  <c r="I961" i="17"/>
  <c r="N961" i="17" s="1"/>
  <c r="I962" i="17"/>
  <c r="N962" i="17" s="1"/>
  <c r="I963" i="17"/>
  <c r="N963" i="17" s="1"/>
  <c r="I964" i="17"/>
  <c r="N964" i="17" s="1"/>
  <c r="I965" i="17"/>
  <c r="N965" i="17" s="1"/>
  <c r="I966" i="17"/>
  <c r="N966" i="17" s="1"/>
  <c r="I967" i="17"/>
  <c r="I968" i="17"/>
  <c r="N968" i="17" s="1"/>
  <c r="I969" i="17"/>
  <c r="N969" i="17" s="1"/>
  <c r="I970" i="17"/>
  <c r="N970" i="17" s="1"/>
  <c r="I971" i="17"/>
  <c r="N971" i="17" s="1"/>
  <c r="I972" i="17"/>
  <c r="N972" i="17" s="1"/>
  <c r="I973" i="17"/>
  <c r="N973" i="17" s="1"/>
  <c r="I974" i="17"/>
  <c r="N974" i="17" s="1"/>
  <c r="I975" i="17"/>
  <c r="I976" i="17"/>
  <c r="N976" i="17" s="1"/>
  <c r="I977" i="17"/>
  <c r="N977" i="17" s="1"/>
  <c r="I978" i="17"/>
  <c r="N978" i="17" s="1"/>
  <c r="I979" i="17"/>
  <c r="N979" i="17" s="1"/>
  <c r="I980" i="17"/>
  <c r="N980" i="17" s="1"/>
  <c r="I981" i="17"/>
  <c r="N981" i="17" s="1"/>
  <c r="I982" i="17"/>
  <c r="N982" i="17" s="1"/>
  <c r="I983" i="17"/>
  <c r="I984" i="17"/>
  <c r="N984" i="17" s="1"/>
  <c r="I985" i="17"/>
  <c r="N985" i="17" s="1"/>
  <c r="I986" i="17"/>
  <c r="N986" i="17" s="1"/>
  <c r="I987" i="17"/>
  <c r="N987" i="17" s="1"/>
  <c r="I988" i="17"/>
  <c r="N988" i="17" s="1"/>
  <c r="I989" i="17"/>
  <c r="N989" i="17" s="1"/>
  <c r="I990" i="17"/>
  <c r="N990" i="17" s="1"/>
  <c r="I991" i="17"/>
  <c r="I992" i="17"/>
  <c r="N992" i="17" s="1"/>
  <c r="I993" i="17"/>
  <c r="N993" i="17" s="1"/>
  <c r="I994" i="17"/>
  <c r="N994" i="17" s="1"/>
  <c r="I995" i="17"/>
  <c r="N995" i="17" s="1"/>
  <c r="I996" i="17"/>
  <c r="N996" i="17" s="1"/>
  <c r="I997" i="17"/>
  <c r="N997" i="17" s="1"/>
  <c r="I998" i="17"/>
  <c r="N998" i="17" s="1"/>
  <c r="I999" i="17"/>
  <c r="I1000" i="17"/>
  <c r="N1000" i="17" s="1"/>
  <c r="I1001" i="17"/>
  <c r="N1001" i="17" s="1"/>
  <c r="H9" i="17" a="1"/>
  <c r="H9" i="17" s="1"/>
  <c r="H10" i="17" a="1"/>
  <c r="H10" i="17"/>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c r="H27" i="17" a="1"/>
  <c r="H27" i="17" s="1"/>
  <c r="H28" i="17" a="1"/>
  <c r="H28" i="17" s="1"/>
  <c r="H29" i="17" a="1"/>
  <c r="H29" i="17" s="1"/>
  <c r="H30" i="17" a="1"/>
  <c r="H30" i="17" s="1"/>
  <c r="H31" i="17" a="1"/>
  <c r="H31" i="17" s="1"/>
  <c r="H32" i="17" a="1"/>
  <c r="H32" i="17" s="1"/>
  <c r="H33" i="17" a="1"/>
  <c r="H33" i="17" s="1"/>
  <c r="H34" i="17" a="1"/>
  <c r="H34" i="17" s="1"/>
  <c r="H35" i="17" a="1"/>
  <c r="H35" i="17" s="1"/>
  <c r="H36" i="17" a="1"/>
  <c r="H36" i="17" s="1"/>
  <c r="H37" i="17" a="1"/>
  <c r="H37" i="17" s="1"/>
  <c r="H38" i="17" a="1"/>
  <c r="H38" i="17" s="1"/>
  <c r="H39" i="17" a="1"/>
  <c r="H39" i="17" s="1"/>
  <c r="H40" i="17" a="1"/>
  <c r="H40" i="17"/>
  <c r="H41" i="17" a="1"/>
  <c r="H41" i="17" s="1"/>
  <c r="H42" i="17" a="1"/>
  <c r="H42" i="17" s="1"/>
  <c r="H43" i="17" a="1"/>
  <c r="H43" i="17" s="1"/>
  <c r="H44" i="17" a="1"/>
  <c r="H44" i="17" s="1"/>
  <c r="H45" i="17" a="1"/>
  <c r="H45" i="17" s="1"/>
  <c r="H46" i="17" a="1"/>
  <c r="H46" i="17" s="1"/>
  <c r="H47" i="17" a="1"/>
  <c r="H47" i="17" s="1"/>
  <c r="H48" i="17" a="1"/>
  <c r="H48" i="17" s="1"/>
  <c r="H49" i="17" a="1"/>
  <c r="H49" i="17" s="1"/>
  <c r="H50" i="17" a="1"/>
  <c r="H50" i="17"/>
  <c r="H51" i="17" a="1"/>
  <c r="H51" i="17" s="1"/>
  <c r="H52" i="17" a="1"/>
  <c r="H52" i="17" s="1"/>
  <c r="H53" i="17" a="1"/>
  <c r="H53" i="17" s="1"/>
  <c r="H54" i="17" a="1"/>
  <c r="H54" i="17" s="1"/>
  <c r="H55" i="17" a="1"/>
  <c r="H55" i="17" s="1"/>
  <c r="H56" i="17" a="1"/>
  <c r="H56" i="17"/>
  <c r="H57" i="17" a="1"/>
  <c r="H57" i="17" s="1"/>
  <c r="H58" i="17" a="1"/>
  <c r="H58" i="17" s="1"/>
  <c r="H59" i="17" a="1"/>
  <c r="H59" i="17" s="1"/>
  <c r="H60" i="17" a="1"/>
  <c r="H60" i="17" s="1"/>
  <c r="H61" i="17" a="1"/>
  <c r="H61" i="17" s="1"/>
  <c r="H62" i="17" a="1"/>
  <c r="H62" i="17" s="1"/>
  <c r="H63" i="17" a="1"/>
  <c r="H63" i="17" s="1"/>
  <c r="H64" i="17" a="1"/>
  <c r="H64" i="17" s="1"/>
  <c r="H65" i="17" a="1"/>
  <c r="H65" i="17" s="1"/>
  <c r="H66" i="17" a="1"/>
  <c r="H66" i="17" s="1"/>
  <c r="H67" i="17" a="1"/>
  <c r="H67" i="17" s="1"/>
  <c r="H68" i="17" a="1"/>
  <c r="H68" i="17" s="1"/>
  <c r="H69" i="17" a="1"/>
  <c r="H69" i="17" s="1"/>
  <c r="H70" i="17" a="1"/>
  <c r="H70" i="17" s="1"/>
  <c r="H71" i="17" a="1"/>
  <c r="H71" i="17" s="1"/>
  <c r="H72" i="17" a="1"/>
  <c r="H72" i="17"/>
  <c r="H73" i="17" a="1"/>
  <c r="H73" i="17" s="1"/>
  <c r="H74" i="17" a="1"/>
  <c r="H74" i="17" s="1"/>
  <c r="H75" i="17" a="1"/>
  <c r="H75" i="17" s="1"/>
  <c r="H76" i="17" a="1"/>
  <c r="H76" i="17" s="1"/>
  <c r="H77" i="17" a="1"/>
  <c r="H77" i="17" s="1"/>
  <c r="H78" i="17" a="1"/>
  <c r="H78" i="17" s="1"/>
  <c r="H79" i="17" a="1"/>
  <c r="H79" i="17" s="1"/>
  <c r="H80" i="17" a="1"/>
  <c r="H80" i="17" s="1"/>
  <c r="H81" i="17" a="1"/>
  <c r="H81" i="17" s="1"/>
  <c r="H82" i="17" a="1"/>
  <c r="H82" i="17"/>
  <c r="H83" i="17" a="1"/>
  <c r="H83" i="17" s="1"/>
  <c r="H84" i="17" a="1"/>
  <c r="H84" i="17" s="1"/>
  <c r="H85" i="17" a="1"/>
  <c r="H85" i="17" s="1"/>
  <c r="H86" i="17" a="1"/>
  <c r="H86" i="17" s="1"/>
  <c r="H87" i="17" a="1"/>
  <c r="H87" i="17" s="1"/>
  <c r="H88" i="17" a="1"/>
  <c r="H88" i="17"/>
  <c r="H89" i="17" a="1"/>
  <c r="H89" i="17" s="1"/>
  <c r="H90" i="17" a="1"/>
  <c r="H90" i="17" s="1"/>
  <c r="H91" i="17" a="1"/>
  <c r="H91" i="17" s="1"/>
  <c r="H92" i="17" a="1"/>
  <c r="H92" i="17" s="1"/>
  <c r="H93" i="17" a="1"/>
  <c r="H93" i="17" s="1"/>
  <c r="H94" i="17" a="1"/>
  <c r="H94" i="17" s="1"/>
  <c r="H95" i="17" a="1"/>
  <c r="H95" i="17" s="1"/>
  <c r="H96" i="17" a="1"/>
  <c r="H96" i="17" s="1"/>
  <c r="H97" i="17" a="1"/>
  <c r="H97" i="17" s="1"/>
  <c r="H98" i="17" a="1"/>
  <c r="H98" i="17" s="1"/>
  <c r="H99" i="17" a="1"/>
  <c r="H99" i="17" s="1"/>
  <c r="H100" i="17" a="1"/>
  <c r="H100" i="17" s="1"/>
  <c r="H101" i="17" a="1"/>
  <c r="H101" i="17" s="1"/>
  <c r="H102" i="17" a="1"/>
  <c r="H102" i="17" s="1"/>
  <c r="H103" i="17" a="1"/>
  <c r="H103" i="17" s="1"/>
  <c r="H104" i="17" a="1"/>
  <c r="H104" i="17"/>
  <c r="H105" i="17" a="1"/>
  <c r="H105" i="17" s="1"/>
  <c r="H106" i="17" a="1"/>
  <c r="H106" i="17" s="1"/>
  <c r="H107" i="17" a="1"/>
  <c r="H107" i="17" s="1"/>
  <c r="H108" i="17" a="1"/>
  <c r="H108" i="17" s="1"/>
  <c r="H109" i="17" a="1"/>
  <c r="H109" i="17" s="1"/>
  <c r="H110" i="17" a="1"/>
  <c r="H110" i="17" s="1"/>
  <c r="H111" i="17" a="1"/>
  <c r="H111" i="17" s="1"/>
  <c r="H112" i="17" a="1"/>
  <c r="H112" i="17" s="1"/>
  <c r="H113" i="17" a="1"/>
  <c r="H113" i="17" s="1"/>
  <c r="H114" i="17" a="1"/>
  <c r="H114" i="17"/>
  <c r="H115" i="17" a="1"/>
  <c r="H115" i="17" s="1"/>
  <c r="H116" i="17" a="1"/>
  <c r="H116" i="17" s="1"/>
  <c r="H117" i="17" a="1"/>
  <c r="H117" i="17" s="1"/>
  <c r="H118" i="17" a="1"/>
  <c r="H118" i="17" s="1"/>
  <c r="H119" i="17" a="1"/>
  <c r="H119" i="17" s="1"/>
  <c r="H120" i="17" a="1"/>
  <c r="H120" i="17"/>
  <c r="H121" i="17" a="1"/>
  <c r="H121" i="17" s="1"/>
  <c r="H122" i="17" a="1"/>
  <c r="H122" i="17" s="1"/>
  <c r="H123" i="17" a="1"/>
  <c r="H123" i="17" s="1"/>
  <c r="H124" i="17" a="1"/>
  <c r="H124" i="17" s="1"/>
  <c r="H125" i="17" a="1"/>
  <c r="H125" i="17" s="1"/>
  <c r="H126" i="17" a="1"/>
  <c r="H126" i="17" s="1"/>
  <c r="H127" i="17" a="1"/>
  <c r="H127" i="17" s="1"/>
  <c r="H128" i="17" a="1"/>
  <c r="H128" i="17" s="1"/>
  <c r="H129" i="17" a="1"/>
  <c r="H129" i="17" s="1"/>
  <c r="H130" i="17" a="1"/>
  <c r="H130" i="17" s="1"/>
  <c r="H131" i="17" a="1"/>
  <c r="H131" i="17" s="1"/>
  <c r="H132" i="17" a="1"/>
  <c r="H132" i="17" s="1"/>
  <c r="H133" i="17" a="1"/>
  <c r="H133" i="17" s="1"/>
  <c r="H134" i="17" a="1"/>
  <c r="H134" i="17" s="1"/>
  <c r="H135" i="17" a="1"/>
  <c r="H135" i="17" s="1"/>
  <c r="H136" i="17" a="1"/>
  <c r="H136" i="17"/>
  <c r="H137" i="17" a="1"/>
  <c r="H137" i="17" s="1"/>
  <c r="H138" i="17" a="1"/>
  <c r="H138" i="17" s="1"/>
  <c r="H139" i="17" a="1"/>
  <c r="H139" i="17" s="1"/>
  <c r="H140" i="17" a="1"/>
  <c r="H140" i="17" s="1"/>
  <c r="H141" i="17" a="1"/>
  <c r="H141" i="17" s="1"/>
  <c r="H142" i="17" a="1"/>
  <c r="H142" i="17" s="1"/>
  <c r="H143" i="17" a="1"/>
  <c r="H143" i="17" s="1"/>
  <c r="H144" i="17" a="1"/>
  <c r="H144" i="17" s="1"/>
  <c r="H145" i="17" a="1"/>
  <c r="H145" i="17" s="1"/>
  <c r="H146" i="17" a="1"/>
  <c r="H146" i="17"/>
  <c r="H147" i="17" a="1"/>
  <c r="H147" i="17" s="1"/>
  <c r="H148" i="17" a="1"/>
  <c r="H148" i="17" s="1"/>
  <c r="H149" i="17" a="1"/>
  <c r="H149" i="17" s="1"/>
  <c r="H150" i="17" a="1"/>
  <c r="H150" i="17" s="1"/>
  <c r="H151" i="17" a="1"/>
  <c r="H151" i="17" s="1"/>
  <c r="H152" i="17" a="1"/>
  <c r="H152" i="17"/>
  <c r="H153" i="17" a="1"/>
  <c r="H153" i="17" s="1"/>
  <c r="H154" i="17" a="1"/>
  <c r="H154" i="17" s="1"/>
  <c r="H155" i="17" a="1"/>
  <c r="H155" i="17" s="1"/>
  <c r="H156" i="17" a="1"/>
  <c r="H156" i="17" s="1"/>
  <c r="H157" i="17" a="1"/>
  <c r="H157" i="17" s="1"/>
  <c r="H158" i="17" a="1"/>
  <c r="H158" i="17" s="1"/>
  <c r="H159" i="17" a="1"/>
  <c r="H159" i="17" s="1"/>
  <c r="H160" i="17" a="1"/>
  <c r="H160" i="17" s="1"/>
  <c r="H161" i="17" a="1"/>
  <c r="H161" i="17" s="1"/>
  <c r="H162" i="17" a="1"/>
  <c r="H162" i="17" s="1"/>
  <c r="H163" i="17" a="1"/>
  <c r="H163" i="17" s="1"/>
  <c r="H164" i="17" a="1"/>
  <c r="H164" i="17" s="1"/>
  <c r="H165" i="17" a="1"/>
  <c r="H165" i="17" s="1"/>
  <c r="H166" i="17" a="1"/>
  <c r="H166" i="17" s="1"/>
  <c r="H167" i="17" a="1"/>
  <c r="H167" i="17" s="1"/>
  <c r="H168" i="17" a="1"/>
  <c r="H168" i="17"/>
  <c r="H169" i="17" a="1"/>
  <c r="H169" i="17" s="1"/>
  <c r="H170" i="17" a="1"/>
  <c r="H170" i="17" s="1"/>
  <c r="H171" i="17" a="1"/>
  <c r="H171" i="17" s="1"/>
  <c r="H172" i="17" a="1"/>
  <c r="H172" i="17" s="1"/>
  <c r="H173" i="17" a="1"/>
  <c r="H173" i="17" s="1"/>
  <c r="H174" i="17" a="1"/>
  <c r="H174" i="17" s="1"/>
  <c r="H175" i="17" a="1"/>
  <c r="H175" i="17" s="1"/>
  <c r="H176" i="17" a="1"/>
  <c r="H176" i="17" s="1"/>
  <c r="H177" i="17" a="1"/>
  <c r="H177" i="17" s="1"/>
  <c r="H178" i="17" a="1"/>
  <c r="H178" i="17"/>
  <c r="H179" i="17" a="1"/>
  <c r="H179" i="17" s="1"/>
  <c r="H180" i="17" a="1"/>
  <c r="H180" i="17"/>
  <c r="H181" i="17" a="1"/>
  <c r="H181" i="17" s="1"/>
  <c r="H182" i="17" a="1"/>
  <c r="H182" i="17" s="1"/>
  <c r="H183" i="17" a="1"/>
  <c r="H183" i="17" s="1"/>
  <c r="H184" i="17" a="1"/>
  <c r="H184" i="17" s="1"/>
  <c r="H185" i="17" a="1"/>
  <c r="H185" i="17" s="1"/>
  <c r="H186" i="17" a="1"/>
  <c r="H186" i="17" s="1"/>
  <c r="H187" i="17" a="1"/>
  <c r="H187" i="17" s="1"/>
  <c r="H188" i="17" a="1"/>
  <c r="H188" i="17"/>
  <c r="H189" i="17" a="1"/>
  <c r="H189" i="17" s="1"/>
  <c r="H190" i="17" a="1"/>
  <c r="H190" i="17" s="1"/>
  <c r="H191" i="17" a="1"/>
  <c r="H191" i="17" s="1"/>
  <c r="H192" i="17" a="1"/>
  <c r="H192" i="17" s="1"/>
  <c r="H193" i="17" a="1"/>
  <c r="H193" i="17" s="1"/>
  <c r="H194" i="17" a="1"/>
  <c r="H194" i="17" s="1"/>
  <c r="H195" i="17" a="1"/>
  <c r="H195" i="17" s="1"/>
  <c r="H196" i="17" a="1"/>
  <c r="H196" i="17" s="1"/>
  <c r="H197" i="17" a="1"/>
  <c r="H197" i="17" s="1"/>
  <c r="H198" i="17" a="1"/>
  <c r="H198" i="17" s="1"/>
  <c r="H199" i="17" a="1"/>
  <c r="H199" i="17" s="1"/>
  <c r="H200" i="17" a="1"/>
  <c r="H200" i="17" s="1"/>
  <c r="H201" i="17" a="1"/>
  <c r="H201" i="17" s="1"/>
  <c r="H202" i="17" a="1"/>
  <c r="H202" i="17" s="1"/>
  <c r="H203" i="17" a="1"/>
  <c r="H203" i="17" s="1"/>
  <c r="H204" i="17" a="1"/>
  <c r="H204" i="17" s="1"/>
  <c r="H205" i="17" a="1"/>
  <c r="H205" i="17" s="1"/>
  <c r="H206" i="17" a="1"/>
  <c r="H206" i="17"/>
  <c r="H207" i="17" a="1"/>
  <c r="H207" i="17" s="1"/>
  <c r="H208" i="17" a="1"/>
  <c r="H208" i="17" s="1"/>
  <c r="H209" i="17" a="1"/>
  <c r="H209" i="17" s="1"/>
  <c r="H210" i="17" a="1"/>
  <c r="H210" i="17" s="1"/>
  <c r="H211" i="17" a="1"/>
  <c r="H211" i="17" s="1"/>
  <c r="H212" i="17" a="1"/>
  <c r="H212" i="17"/>
  <c r="H213" i="17" a="1"/>
  <c r="H213" i="17" s="1"/>
  <c r="H214" i="17" a="1"/>
  <c r="H214" i="17" s="1"/>
  <c r="H215" i="17" a="1"/>
  <c r="H215" i="17" s="1"/>
  <c r="H216" i="17" a="1"/>
  <c r="H216" i="17" s="1"/>
  <c r="H217" i="17" a="1"/>
  <c r="H217" i="17" s="1"/>
  <c r="H218" i="17" a="1"/>
  <c r="H218" i="17" s="1"/>
  <c r="H219" i="17" a="1"/>
  <c r="H219" i="17" s="1"/>
  <c r="H220" i="17" a="1"/>
  <c r="H220" i="17" s="1"/>
  <c r="H221" i="17" a="1"/>
  <c r="H221" i="17" s="1"/>
  <c r="H222" i="17" a="1"/>
  <c r="H222" i="17" s="1"/>
  <c r="H223" i="17" a="1"/>
  <c r="H223" i="17" s="1"/>
  <c r="H224" i="17" a="1"/>
  <c r="H224" i="17"/>
  <c r="H225" i="17" a="1"/>
  <c r="H225" i="17" s="1"/>
  <c r="H226" i="17" a="1"/>
  <c r="H226" i="17" s="1"/>
  <c r="H227" i="17" a="1"/>
  <c r="H227" i="17" s="1"/>
  <c r="H228" i="17" a="1"/>
  <c r="H228" i="17" s="1"/>
  <c r="H229" i="17" a="1"/>
  <c r="H229" i="17" s="1"/>
  <c r="H230" i="17" a="1"/>
  <c r="H230" i="17"/>
  <c r="H231" i="17" a="1"/>
  <c r="H231" i="17" s="1"/>
  <c r="H232" i="17" a="1"/>
  <c r="H232" i="17"/>
  <c r="H233" i="17" a="1"/>
  <c r="H233" i="17" s="1"/>
  <c r="H234" i="17" a="1"/>
  <c r="H234" i="17" s="1"/>
  <c r="H235" i="17" a="1"/>
  <c r="H235" i="17" s="1"/>
  <c r="H236" i="17" a="1"/>
  <c r="H236" i="17" s="1"/>
  <c r="H237" i="17" a="1"/>
  <c r="H237" i="17" s="1"/>
  <c r="H238" i="17" a="1"/>
  <c r="H238" i="17" s="1"/>
  <c r="H239" i="17" a="1"/>
  <c r="H239" i="17" s="1"/>
  <c r="H240" i="17" a="1"/>
  <c r="H240" i="17" s="1"/>
  <c r="H241" i="17" a="1"/>
  <c r="H241" i="17" s="1"/>
  <c r="H242" i="17" a="1"/>
  <c r="H242" i="17" s="1"/>
  <c r="H243" i="17" a="1"/>
  <c r="H243" i="17" s="1"/>
  <c r="H244" i="17" a="1"/>
  <c r="H244" i="17" s="1"/>
  <c r="H245" i="17" a="1"/>
  <c r="H245" i="17" s="1"/>
  <c r="H246" i="17" a="1"/>
  <c r="H246" i="17" s="1"/>
  <c r="H247" i="17" a="1"/>
  <c r="H247" i="17" s="1"/>
  <c r="H248" i="17" a="1"/>
  <c r="H248" i="17"/>
  <c r="H249" i="17" a="1"/>
  <c r="H249" i="17" s="1"/>
  <c r="H250" i="17" a="1"/>
  <c r="H250" i="17" s="1"/>
  <c r="H251" i="17" a="1"/>
  <c r="H251" i="17" s="1"/>
  <c r="H252" i="17" a="1"/>
  <c r="H252" i="17" s="1"/>
  <c r="H253" i="17" a="1"/>
  <c r="H253" i="17" s="1"/>
  <c r="H254" i="17" a="1"/>
  <c r="H254" i="17"/>
  <c r="H255" i="17" a="1"/>
  <c r="H255" i="17" s="1"/>
  <c r="H256" i="17" a="1"/>
  <c r="H256" i="17"/>
  <c r="H257" i="17" a="1"/>
  <c r="H257" i="17" s="1"/>
  <c r="H258" i="17" a="1"/>
  <c r="H258" i="17" s="1"/>
  <c r="H259" i="17" a="1"/>
  <c r="H259" i="17" s="1"/>
  <c r="H260" i="17" a="1"/>
  <c r="H260" i="17"/>
  <c r="H261" i="17" a="1"/>
  <c r="H261" i="17" s="1"/>
  <c r="H262" i="17" a="1"/>
  <c r="H262" i="17"/>
  <c r="H263" i="17" a="1"/>
  <c r="H263" i="17" s="1"/>
  <c r="H264" i="17" a="1"/>
  <c r="H264" i="17" s="1"/>
  <c r="H265" i="17" a="1"/>
  <c r="H265" i="17" s="1"/>
  <c r="H266" i="17" a="1"/>
  <c r="H266" i="17" s="1"/>
  <c r="H267" i="17" a="1"/>
  <c r="H267" i="17" s="1"/>
  <c r="H268" i="17" a="1"/>
  <c r="H268" i="17" s="1"/>
  <c r="H269" i="17" a="1"/>
  <c r="H269" i="17" s="1"/>
  <c r="H270" i="17" a="1"/>
  <c r="H270" i="17" s="1"/>
  <c r="H271" i="17" a="1"/>
  <c r="H271" i="17" s="1"/>
  <c r="H272" i="17" a="1"/>
  <c r="H272" i="17"/>
  <c r="H273" i="17" a="1"/>
  <c r="H273" i="17" s="1"/>
  <c r="H274" i="17" a="1"/>
  <c r="H274" i="17" s="1"/>
  <c r="H275" i="17" a="1"/>
  <c r="H275" i="17" s="1"/>
  <c r="H276" i="17" a="1"/>
  <c r="H276" i="17" s="1"/>
  <c r="H277" i="17" a="1"/>
  <c r="H277" i="17" s="1"/>
  <c r="H278" i="17" a="1"/>
  <c r="H278" i="17"/>
  <c r="H279" i="17" a="1"/>
  <c r="H279" i="17" s="1"/>
  <c r="H280" i="17" a="1"/>
  <c r="H280" i="17" s="1"/>
  <c r="H281" i="17" a="1"/>
  <c r="H281" i="17" s="1"/>
  <c r="H282" i="17" a="1"/>
  <c r="H282" i="17" s="1"/>
  <c r="H283" i="17" a="1"/>
  <c r="H283" i="17" s="1"/>
  <c r="H284" i="17" a="1"/>
  <c r="H284" i="17"/>
  <c r="H285" i="17" a="1"/>
  <c r="H285" i="17" s="1"/>
  <c r="H286" i="17" a="1"/>
  <c r="H286" i="17" s="1"/>
  <c r="H287" i="17" a="1"/>
  <c r="H287" i="17" s="1"/>
  <c r="H288" i="17" a="1"/>
  <c r="H288" i="17" s="1"/>
  <c r="H289" i="17" a="1"/>
  <c r="H289" i="17" s="1"/>
  <c r="H290" i="17" a="1"/>
  <c r="H290" i="17" s="1"/>
  <c r="H291" i="17" a="1"/>
  <c r="H291" i="17" s="1"/>
  <c r="H292" i="17" a="1"/>
  <c r="H292" i="17" s="1"/>
  <c r="H293" i="17" a="1"/>
  <c r="H293" i="17" s="1"/>
  <c r="H294" i="17" a="1"/>
  <c r="H294" i="17" s="1"/>
  <c r="H295" i="17" a="1"/>
  <c r="H295" i="17" s="1"/>
  <c r="H296" i="17" a="1"/>
  <c r="H296" i="17"/>
  <c r="H297" i="17" a="1"/>
  <c r="H297" i="17" s="1"/>
  <c r="H298" i="17" a="1"/>
  <c r="H298" i="17" s="1"/>
  <c r="H299" i="17" a="1"/>
  <c r="H299" i="17" s="1"/>
  <c r="H300" i="17" a="1"/>
  <c r="H300" i="17" s="1"/>
  <c r="H301" i="17" a="1"/>
  <c r="H301" i="17" s="1"/>
  <c r="H302" i="17" a="1"/>
  <c r="H302" i="17" s="1"/>
  <c r="H303" i="17" a="1"/>
  <c r="H303" i="17" s="1"/>
  <c r="H304" i="17" a="1"/>
  <c r="H304" i="17" s="1"/>
  <c r="H305" i="17" a="1"/>
  <c r="H305" i="17" s="1"/>
  <c r="H306" i="17" a="1"/>
  <c r="H306" i="17" s="1"/>
  <c r="H307" i="17" a="1"/>
  <c r="H307" i="17" s="1"/>
  <c r="H308" i="17" a="1"/>
  <c r="H308" i="17" s="1"/>
  <c r="H309" i="17" a="1"/>
  <c r="H309" i="17" s="1"/>
  <c r="H310" i="17" a="1"/>
  <c r="H310" i="17" s="1"/>
  <c r="H311" i="17" a="1"/>
  <c r="H311" i="17" s="1"/>
  <c r="H312" i="17" a="1"/>
  <c r="H312" i="17" s="1"/>
  <c r="H313" i="17" a="1"/>
  <c r="H313" i="17" s="1"/>
  <c r="H314" i="17" a="1"/>
  <c r="H314" i="17" s="1"/>
  <c r="H315" i="17" a="1"/>
  <c r="H315" i="17"/>
  <c r="H316" i="17" a="1"/>
  <c r="H316" i="17" s="1"/>
  <c r="H317" i="17" a="1"/>
  <c r="H317" i="17"/>
  <c r="H318" i="17" a="1"/>
  <c r="H318" i="17" s="1"/>
  <c r="H319" i="17" a="1"/>
  <c r="H319" i="17" s="1"/>
  <c r="H320" i="17" a="1"/>
  <c r="H320" i="17" s="1"/>
  <c r="H321" i="17" a="1"/>
  <c r="H321" i="17" s="1"/>
  <c r="H322" i="17" a="1"/>
  <c r="H322" i="17" s="1"/>
  <c r="H323" i="17" a="1"/>
  <c r="H323" i="17" s="1"/>
  <c r="H324" i="17" a="1"/>
  <c r="H324" i="17" s="1"/>
  <c r="H325" i="17" a="1"/>
  <c r="H325" i="17" s="1"/>
  <c r="H326" i="17" a="1"/>
  <c r="H326" i="17" s="1"/>
  <c r="H327" i="17" a="1"/>
  <c r="H327" i="17" s="1"/>
  <c r="H328" i="17" a="1"/>
  <c r="H328" i="17" s="1"/>
  <c r="H329" i="17" a="1"/>
  <c r="H329" i="17" s="1"/>
  <c r="H330" i="17" a="1"/>
  <c r="H330" i="17" s="1"/>
  <c r="H331" i="17" a="1"/>
  <c r="H331" i="17" s="1"/>
  <c r="H332" i="17" a="1"/>
  <c r="H332" i="17" s="1"/>
  <c r="H333" i="17" a="1"/>
  <c r="H333" i="17"/>
  <c r="H334" i="17" a="1"/>
  <c r="H334" i="17" s="1"/>
  <c r="H335" i="17" a="1"/>
  <c r="H335" i="17" s="1"/>
  <c r="H336" i="17" a="1"/>
  <c r="H336" i="17" s="1"/>
  <c r="H337" i="17" a="1"/>
  <c r="H337" i="17" s="1"/>
  <c r="H338" i="17" a="1"/>
  <c r="H338" i="17" s="1"/>
  <c r="H339" i="17" a="1"/>
  <c r="H339" i="17"/>
  <c r="H340" i="17" a="1"/>
  <c r="H340" i="17" s="1"/>
  <c r="H341" i="17" a="1"/>
  <c r="H341" i="17"/>
  <c r="H342" i="17" a="1"/>
  <c r="H342" i="17" s="1"/>
  <c r="H343" i="17" a="1"/>
  <c r="H343" i="17" s="1"/>
  <c r="H344" i="17" a="1"/>
  <c r="H344" i="17" s="1"/>
  <c r="H345" i="17" a="1"/>
  <c r="H345" i="17"/>
  <c r="H346" i="17" a="1"/>
  <c r="H346" i="17" s="1"/>
  <c r="H347" i="17" a="1"/>
  <c r="H347" i="17"/>
  <c r="H348" i="17" a="1"/>
  <c r="H348" i="17" s="1"/>
  <c r="H349" i="17" a="1"/>
  <c r="H349" i="17" s="1"/>
  <c r="H350" i="17" a="1"/>
  <c r="H350" i="17" s="1"/>
  <c r="H351" i="17" a="1"/>
  <c r="H351" i="17" s="1"/>
  <c r="H352" i="17" a="1"/>
  <c r="H352" i="17" s="1"/>
  <c r="H353" i="17" a="1"/>
  <c r="H353" i="17" s="1"/>
  <c r="H354" i="17" a="1"/>
  <c r="H354" i="17" s="1"/>
  <c r="H355" i="17" a="1"/>
  <c r="H355" i="17" s="1"/>
  <c r="H356" i="17" a="1"/>
  <c r="H356" i="17" s="1"/>
  <c r="H357" i="17" a="1"/>
  <c r="H357" i="17" s="1"/>
  <c r="H358" i="17" a="1"/>
  <c r="H358" i="17" s="1"/>
  <c r="H359" i="17" a="1"/>
  <c r="H359" i="17" s="1"/>
  <c r="H360" i="17" a="1"/>
  <c r="H360" i="17" s="1"/>
  <c r="H361" i="17" a="1"/>
  <c r="H361" i="17" s="1"/>
  <c r="H362" i="17" a="1"/>
  <c r="H362" i="17" s="1"/>
  <c r="H363" i="17" a="1"/>
  <c r="H363" i="17"/>
  <c r="H364" i="17" a="1"/>
  <c r="H364" i="17" s="1"/>
  <c r="H365" i="17" a="1"/>
  <c r="H365" i="17"/>
  <c r="H366" i="17" a="1"/>
  <c r="H366" i="17" s="1"/>
  <c r="H367" i="17" a="1"/>
  <c r="H367" i="17" s="1"/>
  <c r="H368" i="17" a="1"/>
  <c r="H368" i="17" s="1"/>
  <c r="H369" i="17" a="1"/>
  <c r="H369" i="17"/>
  <c r="H370" i="17" a="1"/>
  <c r="H370" i="17" s="1"/>
  <c r="H371" i="17" a="1"/>
  <c r="H371" i="17"/>
  <c r="H372" i="17" a="1"/>
  <c r="H372" i="17" s="1"/>
  <c r="H373" i="17" a="1"/>
  <c r="H373" i="17" s="1"/>
  <c r="H374" i="17" a="1"/>
  <c r="H374" i="17" s="1"/>
  <c r="H375" i="17" a="1"/>
  <c r="H375" i="17" s="1"/>
  <c r="H376" i="17" a="1"/>
  <c r="H376" i="17" s="1"/>
  <c r="H377" i="17" a="1"/>
  <c r="H377" i="17"/>
  <c r="H378" i="17" a="1"/>
  <c r="H378" i="17" s="1"/>
  <c r="H379" i="17" a="1"/>
  <c r="H379" i="17" s="1"/>
  <c r="H380" i="17" a="1"/>
  <c r="H380" i="17" s="1"/>
  <c r="H381" i="17" a="1"/>
  <c r="H381" i="17" s="1"/>
  <c r="H382" i="17" a="1"/>
  <c r="H382" i="17" s="1"/>
  <c r="H383" i="17" a="1"/>
  <c r="H383" i="17" s="1"/>
  <c r="H384" i="17" a="1"/>
  <c r="H384" i="17" s="1"/>
  <c r="H385" i="17" a="1"/>
  <c r="H385" i="17" s="1"/>
  <c r="H386" i="17" a="1"/>
  <c r="H386" i="17" s="1"/>
  <c r="H387" i="17" a="1"/>
  <c r="H387" i="17" s="1"/>
  <c r="H388" i="17" a="1"/>
  <c r="H388" i="17" s="1"/>
  <c r="H389" i="17" a="1"/>
  <c r="H389" i="17"/>
  <c r="H390" i="17" a="1"/>
  <c r="H390" i="17" s="1"/>
  <c r="H391" i="17" a="1"/>
  <c r="H391" i="17" s="1"/>
  <c r="H392" i="17" a="1"/>
  <c r="H392" i="17" s="1"/>
  <c r="H393" i="17" a="1"/>
  <c r="H393" i="17" s="1"/>
  <c r="H394" i="17" a="1"/>
  <c r="H394" i="17" s="1"/>
  <c r="H395" i="17" a="1"/>
  <c r="H395" i="17"/>
  <c r="H396" i="17" a="1"/>
  <c r="H396" i="17" s="1"/>
  <c r="H397" i="17" a="1"/>
  <c r="H397" i="17" s="1"/>
  <c r="H398" i="17" a="1"/>
  <c r="H398" i="17" s="1"/>
  <c r="H399" i="17" a="1"/>
  <c r="H399" i="17" s="1"/>
  <c r="H400" i="17" a="1"/>
  <c r="H400" i="17" s="1"/>
  <c r="H401" i="17" a="1"/>
  <c r="H401" i="17"/>
  <c r="H402" i="17" a="1"/>
  <c r="H402" i="17" s="1"/>
  <c r="H403" i="17" a="1"/>
  <c r="H403" i="17" s="1"/>
  <c r="H404" i="17" a="1"/>
  <c r="H404" i="17" s="1"/>
  <c r="H405" i="17" a="1"/>
  <c r="H405" i="17" s="1"/>
  <c r="H406" i="17" a="1"/>
  <c r="H406" i="17" s="1"/>
  <c r="H407" i="17" a="1"/>
  <c r="H407" i="17" s="1"/>
  <c r="H408" i="17" a="1"/>
  <c r="H408" i="17" s="1"/>
  <c r="H409" i="17" a="1"/>
  <c r="H409" i="17" s="1"/>
  <c r="H410" i="17" a="1"/>
  <c r="H410" i="17" s="1"/>
  <c r="H411" i="17" a="1"/>
  <c r="H411" i="17"/>
  <c r="H412" i="17" a="1"/>
  <c r="H412" i="17" s="1"/>
  <c r="H413" i="17" a="1"/>
  <c r="H413" i="17"/>
  <c r="H414" i="17" a="1"/>
  <c r="H414" i="17" s="1"/>
  <c r="H415" i="17" a="1"/>
  <c r="H415" i="17" s="1"/>
  <c r="H416" i="17" a="1"/>
  <c r="H416" i="17" s="1"/>
  <c r="H417" i="17" a="1"/>
  <c r="H417" i="17" s="1"/>
  <c r="H418" i="17" a="1"/>
  <c r="H418" i="17" s="1"/>
  <c r="H419" i="17" a="1"/>
  <c r="H419" i="17" s="1"/>
  <c r="H420" i="17" a="1"/>
  <c r="H420" i="17" s="1"/>
  <c r="H421" i="17" a="1"/>
  <c r="H421" i="17" s="1"/>
  <c r="H422" i="17" a="1"/>
  <c r="H422" i="17" s="1"/>
  <c r="H423" i="17" a="1"/>
  <c r="H423" i="17" s="1"/>
  <c r="H424" i="17" a="1"/>
  <c r="H424" i="17" s="1"/>
  <c r="H425" i="17" a="1"/>
  <c r="H425" i="17" s="1"/>
  <c r="H426" i="17" a="1"/>
  <c r="H426" i="17" s="1"/>
  <c r="H427" i="17" a="1"/>
  <c r="H427" i="17" s="1"/>
  <c r="H428" i="17" a="1"/>
  <c r="H428" i="17" s="1"/>
  <c r="H429" i="17" a="1"/>
  <c r="H429" i="17"/>
  <c r="H430" i="17" a="1"/>
  <c r="H430" i="17" s="1"/>
  <c r="H431" i="17" a="1"/>
  <c r="H431" i="17" s="1"/>
  <c r="H432" i="17" a="1"/>
  <c r="H432" i="17" s="1"/>
  <c r="H433" i="17" a="1"/>
  <c r="H433" i="17" s="1"/>
  <c r="H434" i="17" a="1"/>
  <c r="H434" i="17" s="1"/>
  <c r="H435" i="17" a="1"/>
  <c r="H435" i="17" s="1"/>
  <c r="H436" i="17" a="1"/>
  <c r="H436" i="17" s="1"/>
  <c r="H437" i="17" a="1"/>
  <c r="H437" i="17"/>
  <c r="H438" i="17" a="1"/>
  <c r="H438" i="17" s="1"/>
  <c r="H439" i="17" a="1"/>
  <c r="H439" i="17" s="1"/>
  <c r="H440" i="17" a="1"/>
  <c r="H440" i="17" s="1"/>
  <c r="H441" i="17" a="1"/>
  <c r="H441" i="17" s="1"/>
  <c r="H442" i="17" a="1"/>
  <c r="H442" i="17" s="1"/>
  <c r="H443" i="17" a="1"/>
  <c r="H443" i="17" s="1"/>
  <c r="H444" i="17" a="1"/>
  <c r="H444" i="17" s="1"/>
  <c r="H445" i="17" a="1"/>
  <c r="H445" i="17" s="1"/>
  <c r="H446" i="17" a="1"/>
  <c r="H446" i="17" s="1"/>
  <c r="H447" i="17" a="1"/>
  <c r="H447" i="17" s="1"/>
  <c r="H448" i="17" a="1"/>
  <c r="H448" i="17" s="1"/>
  <c r="H449" i="17" a="1"/>
  <c r="H449" i="17" s="1"/>
  <c r="H450" i="17" a="1"/>
  <c r="H450" i="17" s="1"/>
  <c r="H451" i="17" a="1"/>
  <c r="H451" i="17"/>
  <c r="H452" i="17" a="1"/>
  <c r="H452" i="17" s="1"/>
  <c r="H453" i="17" a="1"/>
  <c r="H453" i="17"/>
  <c r="H454" i="17" a="1"/>
  <c r="H454" i="17" s="1"/>
  <c r="H455" i="17" a="1"/>
  <c r="H455" i="17" s="1"/>
  <c r="H456" i="17" a="1"/>
  <c r="H456" i="17" s="1"/>
  <c r="H457" i="17" a="1"/>
  <c r="H457" i="17"/>
  <c r="H458" i="17" a="1"/>
  <c r="H458" i="17" s="1"/>
  <c r="H459" i="17" a="1"/>
  <c r="H459" i="17"/>
  <c r="H460" i="17" a="1"/>
  <c r="H460" i="17" s="1"/>
  <c r="H461" i="17" a="1"/>
  <c r="H461" i="17" s="1"/>
  <c r="H462" i="17" a="1"/>
  <c r="H462" i="17" s="1"/>
  <c r="H463" i="17" a="1"/>
  <c r="H463" i="17" s="1"/>
  <c r="H464" i="17" a="1"/>
  <c r="H464" i="17" s="1"/>
  <c r="H465" i="17" a="1"/>
  <c r="H465" i="17"/>
  <c r="H466" i="17" a="1"/>
  <c r="H466" i="17" s="1"/>
  <c r="H467" i="17" a="1"/>
  <c r="H467" i="17" s="1"/>
  <c r="H468" i="17" a="1"/>
  <c r="H468" i="17" s="1"/>
  <c r="H469" i="17" a="1"/>
  <c r="H469" i="17" s="1"/>
  <c r="H470" i="17" a="1"/>
  <c r="H470" i="17" s="1"/>
  <c r="H471" i="17" a="1"/>
  <c r="H471" i="17" s="1"/>
  <c r="H472" i="17" a="1"/>
  <c r="H472" i="17" s="1"/>
  <c r="H473" i="17" a="1"/>
  <c r="H473" i="17" s="1"/>
  <c r="H474" i="17" a="1"/>
  <c r="H474" i="17" s="1"/>
  <c r="H475" i="17" a="1"/>
  <c r="H475" i="17"/>
  <c r="H476" i="17" a="1"/>
  <c r="H476" i="17" s="1"/>
  <c r="H477" i="17" a="1"/>
  <c r="H477" i="17"/>
  <c r="H478" i="17" a="1"/>
  <c r="H478" i="17" s="1"/>
  <c r="H479" i="17" a="1"/>
  <c r="H479" i="17" s="1"/>
  <c r="H480" i="17" a="1"/>
  <c r="H480" i="17" s="1"/>
  <c r="H481" i="17" a="1"/>
  <c r="H481" i="17" s="1"/>
  <c r="H482" i="17" a="1"/>
  <c r="H482" i="17" s="1"/>
  <c r="H483" i="17" a="1"/>
  <c r="H483" i="17" s="1"/>
  <c r="H484" i="17" a="1"/>
  <c r="H484" i="17" s="1"/>
  <c r="H485" i="17" a="1"/>
  <c r="H485" i="17" s="1"/>
  <c r="H486" i="17" a="1"/>
  <c r="H486" i="17" s="1"/>
  <c r="H487" i="17" a="1"/>
  <c r="H487" i="17" s="1"/>
  <c r="H488" i="17" a="1"/>
  <c r="H488" i="17" s="1"/>
  <c r="H489" i="17" a="1"/>
  <c r="H489" i="17" s="1"/>
  <c r="H490" i="17" a="1"/>
  <c r="H490" i="17" s="1"/>
  <c r="H491" i="17" a="1"/>
  <c r="H491" i="17" s="1"/>
  <c r="H492" i="17" a="1"/>
  <c r="H492" i="17" s="1"/>
  <c r="H493" i="17" a="1"/>
  <c r="H493" i="17" s="1"/>
  <c r="H494" i="17" a="1"/>
  <c r="H494" i="17" s="1"/>
  <c r="H495" i="17" a="1"/>
  <c r="H495" i="17" s="1"/>
  <c r="H496" i="17" a="1"/>
  <c r="H496" i="17" s="1"/>
  <c r="H497" i="17" a="1"/>
  <c r="H497" i="17" s="1"/>
  <c r="H498" i="17" a="1"/>
  <c r="H498" i="17" s="1"/>
  <c r="H499" i="17" a="1"/>
  <c r="H499" i="17" s="1"/>
  <c r="H500" i="17" a="1"/>
  <c r="H500" i="17" s="1"/>
  <c r="H501" i="17" a="1"/>
  <c r="H501" i="17" s="1"/>
  <c r="H502" i="17" a="1"/>
  <c r="H502" i="17" s="1"/>
  <c r="H503" i="17" a="1"/>
  <c r="H503" i="17" s="1"/>
  <c r="H504" i="17" a="1"/>
  <c r="H504" i="17" s="1"/>
  <c r="H505" i="17" a="1"/>
  <c r="H505" i="17" s="1"/>
  <c r="H506" i="17" a="1"/>
  <c r="H506" i="17" s="1"/>
  <c r="H507" i="17" a="1"/>
  <c r="H507" i="17"/>
  <c r="H508" i="17" a="1"/>
  <c r="H508" i="17" s="1"/>
  <c r="H509" i="17" a="1"/>
  <c r="H509" i="17" s="1"/>
  <c r="H510" i="17" a="1"/>
  <c r="H510" i="17" s="1"/>
  <c r="H511" i="17" a="1"/>
  <c r="H511" i="17" s="1"/>
  <c r="H512" i="17" a="1"/>
  <c r="H512" i="17" s="1"/>
  <c r="H513" i="17" a="1"/>
  <c r="H513" i="17" s="1"/>
  <c r="H514" i="17" a="1"/>
  <c r="H514" i="17" s="1"/>
  <c r="H515" i="17" a="1"/>
  <c r="H515" i="17" s="1"/>
  <c r="H516" i="17" a="1"/>
  <c r="H516" i="17" s="1"/>
  <c r="H517" i="17" a="1"/>
  <c r="H517" i="17" s="1"/>
  <c r="H518" i="17" a="1"/>
  <c r="H518" i="17" s="1"/>
  <c r="H519" i="17" a="1"/>
  <c r="H519" i="17" s="1"/>
  <c r="H520" i="17" a="1"/>
  <c r="H520" i="17" s="1"/>
  <c r="H521" i="17" a="1"/>
  <c r="H521" i="17" s="1"/>
  <c r="H522" i="17" a="1"/>
  <c r="H522" i="17" s="1"/>
  <c r="H523" i="17" a="1"/>
  <c r="H523" i="17"/>
  <c r="H524" i="17" a="1"/>
  <c r="H524" i="17" s="1"/>
  <c r="H525" i="17" a="1"/>
  <c r="H525" i="17" s="1"/>
  <c r="H526" i="17" a="1"/>
  <c r="H526" i="17" s="1"/>
  <c r="H527" i="17" a="1"/>
  <c r="H527" i="17" s="1"/>
  <c r="H528" i="17" a="1"/>
  <c r="H528" i="17" s="1"/>
  <c r="H529" i="17" a="1"/>
  <c r="H529" i="17" s="1"/>
  <c r="H530" i="17" a="1"/>
  <c r="H530" i="17" s="1"/>
  <c r="H531" i="17" a="1"/>
  <c r="H531" i="17" s="1"/>
  <c r="H532" i="17" a="1"/>
  <c r="H532" i="17" s="1"/>
  <c r="H533" i="17" a="1"/>
  <c r="H533" i="17" s="1"/>
  <c r="H534" i="17" a="1"/>
  <c r="H534" i="17" s="1"/>
  <c r="H535" i="17" a="1"/>
  <c r="H535" i="17" s="1"/>
  <c r="H536" i="17" a="1"/>
  <c r="H536" i="17" s="1"/>
  <c r="H537" i="17" a="1"/>
  <c r="H537" i="17"/>
  <c r="H538" i="17" a="1"/>
  <c r="H538" i="17" s="1"/>
  <c r="H539" i="17" a="1"/>
  <c r="H539" i="17" s="1"/>
  <c r="H540" i="17" a="1"/>
  <c r="H540" i="17" s="1"/>
  <c r="H541" i="17" a="1"/>
  <c r="H541" i="17" s="1"/>
  <c r="H542" i="17" a="1"/>
  <c r="H542" i="17" s="1"/>
  <c r="H543" i="17" a="1"/>
  <c r="H543" i="17" s="1"/>
  <c r="H544" i="17" a="1"/>
  <c r="H544" i="17" s="1"/>
  <c r="H545" i="17" a="1"/>
  <c r="H545" i="17" s="1"/>
  <c r="H546" i="17" a="1"/>
  <c r="H546" i="17" s="1"/>
  <c r="H547" i="17" a="1"/>
  <c r="H547" i="17"/>
  <c r="H548" i="17" a="1"/>
  <c r="H548" i="17" s="1"/>
  <c r="H549" i="17" a="1"/>
  <c r="H549" i="17" s="1"/>
  <c r="H550" i="17" a="1"/>
  <c r="H550" i="17" s="1"/>
  <c r="H551" i="17" a="1"/>
  <c r="H551" i="17" s="1"/>
  <c r="H552" i="17" a="1"/>
  <c r="H552" i="17" s="1"/>
  <c r="H553" i="17" a="1"/>
  <c r="H553" i="17" s="1"/>
  <c r="H554" i="17" a="1"/>
  <c r="H554" i="17" s="1"/>
  <c r="H555" i="17" a="1"/>
  <c r="H555" i="17" s="1"/>
  <c r="H556" i="17" a="1"/>
  <c r="H556" i="17" s="1"/>
  <c r="H557" i="17" a="1"/>
  <c r="H557" i="17" s="1"/>
  <c r="H558" i="17" a="1"/>
  <c r="H558" i="17" s="1"/>
  <c r="H559" i="17" a="1"/>
  <c r="H559" i="17" s="1"/>
  <c r="H560" i="17" a="1"/>
  <c r="H560" i="17" s="1"/>
  <c r="H561" i="17" a="1"/>
  <c r="H561" i="17" s="1"/>
  <c r="H562" i="17" a="1"/>
  <c r="H562" i="17" s="1"/>
  <c r="H563" i="17" a="1"/>
  <c r="H563" i="17" s="1"/>
  <c r="H564" i="17" a="1"/>
  <c r="H564" i="17" s="1"/>
  <c r="H565" i="17" a="1"/>
  <c r="H565" i="17" s="1"/>
  <c r="H566" i="17" a="1"/>
  <c r="H566" i="17" s="1"/>
  <c r="H567" i="17" a="1"/>
  <c r="H567" i="17" s="1"/>
  <c r="H568" i="17" a="1"/>
  <c r="H568" i="17" s="1"/>
  <c r="H569" i="17" a="1"/>
  <c r="H569" i="17" s="1"/>
  <c r="H570" i="17" a="1"/>
  <c r="H570" i="17" s="1"/>
  <c r="H571" i="17" a="1"/>
  <c r="H571" i="17"/>
  <c r="H572" i="17" a="1"/>
  <c r="H572" i="17" s="1"/>
  <c r="H573" i="17" a="1"/>
  <c r="H573" i="17" s="1"/>
  <c r="H574" i="17" a="1"/>
  <c r="H574" i="17" s="1"/>
  <c r="H575" i="17" a="1"/>
  <c r="H575" i="17" s="1"/>
  <c r="H576" i="17" a="1"/>
  <c r="H576" i="17" s="1"/>
  <c r="H577" i="17" a="1"/>
  <c r="H577" i="17" s="1"/>
  <c r="H578" i="17" a="1"/>
  <c r="H578" i="17" s="1"/>
  <c r="H579" i="17" a="1"/>
  <c r="H579" i="17" s="1"/>
  <c r="H580" i="17" a="1"/>
  <c r="H580" i="17" s="1"/>
  <c r="H581" i="17" a="1"/>
  <c r="H581" i="17" s="1"/>
  <c r="H582" i="17" a="1"/>
  <c r="H582" i="17" s="1"/>
  <c r="H583" i="17" a="1"/>
  <c r="H583" i="17" s="1"/>
  <c r="H584" i="17" a="1"/>
  <c r="H584" i="17" s="1"/>
  <c r="H585" i="17" a="1"/>
  <c r="H585" i="17"/>
  <c r="H586" i="17" a="1"/>
  <c r="H586" i="17" s="1"/>
  <c r="H587" i="17" a="1"/>
  <c r="H587" i="17"/>
  <c r="H588" i="17" a="1"/>
  <c r="H588" i="17" s="1"/>
  <c r="H589" i="17" a="1"/>
  <c r="H589" i="17" s="1"/>
  <c r="H590" i="17" a="1"/>
  <c r="H590" i="17" s="1"/>
  <c r="H591" i="17" a="1"/>
  <c r="H591" i="17" s="1"/>
  <c r="H592" i="17" a="1"/>
  <c r="H592" i="17" s="1"/>
  <c r="H593" i="17" a="1"/>
  <c r="H593" i="17" s="1"/>
  <c r="H594" i="17" a="1"/>
  <c r="H594" i="17" s="1"/>
  <c r="H595" i="17" a="1"/>
  <c r="H595" i="17"/>
  <c r="H596" i="17" a="1"/>
  <c r="H596" i="17" s="1"/>
  <c r="H597" i="17" a="1"/>
  <c r="H597" i="17" s="1"/>
  <c r="H598" i="17" a="1"/>
  <c r="H598" i="17" s="1"/>
  <c r="H599" i="17" a="1"/>
  <c r="H599" i="17" s="1"/>
  <c r="H600" i="17" a="1"/>
  <c r="H600" i="17" s="1"/>
  <c r="H601" i="17" a="1"/>
  <c r="H601" i="17"/>
  <c r="H602" i="17" a="1"/>
  <c r="H602" i="17" s="1"/>
  <c r="H603" i="17" a="1"/>
  <c r="H603" i="17" s="1"/>
  <c r="H604" i="17" a="1"/>
  <c r="H604" i="17" s="1"/>
  <c r="H605" i="17" a="1"/>
  <c r="H605" i="17" s="1"/>
  <c r="H606" i="17" a="1"/>
  <c r="H606" i="17" s="1"/>
  <c r="H607" i="17" a="1"/>
  <c r="H607" i="17" s="1"/>
  <c r="H608" i="17" a="1"/>
  <c r="H608" i="17" s="1"/>
  <c r="H609" i="17" a="1"/>
  <c r="H609" i="17" s="1"/>
  <c r="H610" i="17" a="1"/>
  <c r="H610" i="17" s="1"/>
  <c r="H611" i="17" a="1"/>
  <c r="H611" i="17"/>
  <c r="H612" i="17" a="1"/>
  <c r="H612" i="17" s="1"/>
  <c r="H613" i="17" a="1"/>
  <c r="H613" i="17" s="1"/>
  <c r="H614" i="17" a="1"/>
  <c r="H614" i="17" s="1"/>
  <c r="H615" i="17" a="1"/>
  <c r="H615" i="17" s="1"/>
  <c r="H616" i="17" a="1"/>
  <c r="H616" i="17" s="1"/>
  <c r="H617" i="17" a="1"/>
  <c r="H617" i="17" s="1"/>
  <c r="H618" i="17" a="1"/>
  <c r="H618" i="17" s="1"/>
  <c r="H619" i="17" a="1"/>
  <c r="H619" i="17"/>
  <c r="H620" i="17" a="1"/>
  <c r="H620" i="17" s="1"/>
  <c r="H621" i="17" a="1"/>
  <c r="H621" i="17"/>
  <c r="H622" i="17" a="1"/>
  <c r="H622" i="17" s="1"/>
  <c r="H623" i="17" a="1"/>
  <c r="H623" i="17" s="1"/>
  <c r="H624" i="17" a="1"/>
  <c r="H624" i="17" s="1"/>
  <c r="H625" i="17" a="1"/>
  <c r="H625" i="17" s="1"/>
  <c r="H626" i="17" a="1"/>
  <c r="H626" i="17" s="1"/>
  <c r="H627" i="17" a="1"/>
  <c r="H627" i="17" s="1"/>
  <c r="H628" i="17" a="1"/>
  <c r="H628" i="17" s="1"/>
  <c r="H629" i="17" a="1"/>
  <c r="H629" i="17" s="1"/>
  <c r="H630" i="17" a="1"/>
  <c r="H630" i="17" s="1"/>
  <c r="H631" i="17" a="1"/>
  <c r="H631" i="17"/>
  <c r="H632" i="17" a="1"/>
  <c r="H632" i="17" s="1"/>
  <c r="H633" i="17" a="1"/>
  <c r="H633" i="17" s="1"/>
  <c r="H634" i="17" a="1"/>
  <c r="H634" i="17" s="1"/>
  <c r="H635" i="17" a="1"/>
  <c r="H635" i="17" s="1"/>
  <c r="H636" i="17" a="1"/>
  <c r="H636" i="17" s="1"/>
  <c r="H637" i="17" a="1"/>
  <c r="H637" i="17"/>
  <c r="H638" i="17" a="1"/>
  <c r="H638" i="17" s="1"/>
  <c r="H639" i="17" a="1"/>
  <c r="H639" i="17" s="1"/>
  <c r="H640" i="17" a="1"/>
  <c r="H640" i="17" s="1"/>
  <c r="H641" i="17" a="1"/>
  <c r="H641" i="17" s="1"/>
  <c r="H642" i="17" a="1"/>
  <c r="H642" i="17" s="1"/>
  <c r="H643" i="17" a="1"/>
  <c r="H643" i="17"/>
  <c r="H644" i="17" a="1"/>
  <c r="H644" i="17" s="1"/>
  <c r="H645" i="17" a="1"/>
  <c r="H645" i="17" s="1"/>
  <c r="H646" i="17" a="1"/>
  <c r="H646" i="17" s="1"/>
  <c r="H647" i="17" a="1"/>
  <c r="H647" i="17" s="1"/>
  <c r="H648" i="17" a="1"/>
  <c r="H648" i="17" s="1"/>
  <c r="H649" i="17" a="1"/>
  <c r="H649" i="17" s="1"/>
  <c r="H650" i="17" a="1"/>
  <c r="H650" i="17" s="1"/>
  <c r="H651" i="17" a="1"/>
  <c r="H651" i="17" s="1"/>
  <c r="H652" i="17" a="1"/>
  <c r="H652" i="17" s="1"/>
  <c r="H653" i="17" a="1"/>
  <c r="H653" i="17" s="1"/>
  <c r="H654" i="17" a="1"/>
  <c r="H654" i="17" s="1"/>
  <c r="H655" i="17" a="1"/>
  <c r="H655" i="17" s="1"/>
  <c r="H656" i="17" a="1"/>
  <c r="H656" i="17" s="1"/>
  <c r="H657" i="17" a="1"/>
  <c r="H657" i="17" s="1"/>
  <c r="H658" i="17" a="1"/>
  <c r="H658" i="17" s="1"/>
  <c r="H659" i="17" a="1"/>
  <c r="H659" i="17"/>
  <c r="H660" i="17" a="1"/>
  <c r="H660" i="17" s="1"/>
  <c r="H661" i="17" a="1"/>
  <c r="H661" i="17" s="1"/>
  <c r="H662" i="17" a="1"/>
  <c r="H662" i="17" s="1"/>
  <c r="H663" i="17" a="1"/>
  <c r="H663" i="17" s="1"/>
  <c r="H664" i="17" a="1"/>
  <c r="H664" i="17" s="1"/>
  <c r="H665" i="17" a="1"/>
  <c r="H665" i="17" s="1"/>
  <c r="H666" i="17" a="1"/>
  <c r="H666" i="17" s="1"/>
  <c r="H667" i="17" a="1"/>
  <c r="H667" i="17" s="1"/>
  <c r="H668" i="17" a="1"/>
  <c r="H668" i="17" s="1"/>
  <c r="H669" i="17" a="1"/>
  <c r="H669" i="17"/>
  <c r="H670" i="17" a="1"/>
  <c r="H670" i="17" s="1"/>
  <c r="H671" i="17" a="1"/>
  <c r="H671" i="17" s="1"/>
  <c r="H672" i="17" a="1"/>
  <c r="H672" i="17" s="1"/>
  <c r="H673" i="17" a="1"/>
  <c r="H673" i="17" s="1"/>
  <c r="H674" i="17" a="1"/>
  <c r="H674" i="17" s="1"/>
  <c r="H675" i="17" a="1"/>
  <c r="H675" i="17"/>
  <c r="H676" i="17" a="1"/>
  <c r="H676" i="17" s="1"/>
  <c r="H677" i="17" a="1"/>
  <c r="H677" i="17" s="1"/>
  <c r="H678" i="17" a="1"/>
  <c r="H678" i="17" s="1"/>
  <c r="H679" i="17" a="1"/>
  <c r="H679" i="17" s="1"/>
  <c r="H680" i="17" a="1"/>
  <c r="H680" i="17" s="1"/>
  <c r="H681" i="17" a="1"/>
  <c r="H681" i="17" s="1"/>
  <c r="H682" i="17" a="1"/>
  <c r="H682" i="17" s="1"/>
  <c r="H683" i="17" a="1"/>
  <c r="H683" i="17" s="1"/>
  <c r="H684" i="17" a="1"/>
  <c r="H684" i="17" s="1"/>
  <c r="H685" i="17" a="1"/>
  <c r="H685" i="17" s="1"/>
  <c r="H686" i="17" a="1"/>
  <c r="H686" i="17" s="1"/>
  <c r="H687" i="17" a="1"/>
  <c r="H687" i="17" s="1"/>
  <c r="H688" i="17" a="1"/>
  <c r="H688" i="17" s="1"/>
  <c r="H689" i="17" a="1"/>
  <c r="H689" i="17" s="1"/>
  <c r="H690" i="17" a="1"/>
  <c r="H690" i="17" s="1"/>
  <c r="H691" i="17" a="1"/>
  <c r="H691" i="17"/>
  <c r="H692" i="17" a="1"/>
  <c r="H692" i="17" s="1"/>
  <c r="H693" i="17" a="1"/>
  <c r="H693" i="17" s="1"/>
  <c r="H694" i="17" a="1"/>
  <c r="H694" i="17" s="1"/>
  <c r="H695" i="17" a="1"/>
  <c r="H695" i="17" s="1"/>
  <c r="H696" i="17" a="1"/>
  <c r="H696" i="17" s="1"/>
  <c r="H697" i="17" a="1"/>
  <c r="H697" i="17" s="1"/>
  <c r="H698" i="17" a="1"/>
  <c r="H698" i="17" s="1"/>
  <c r="H699" i="17" a="1"/>
  <c r="H699" i="17" s="1"/>
  <c r="H700" i="17" a="1"/>
  <c r="H700" i="17" s="1"/>
  <c r="H701" i="17" a="1"/>
  <c r="H701" i="17" s="1"/>
  <c r="H702" i="17" a="1"/>
  <c r="H702" i="17" s="1"/>
  <c r="H703" i="17" a="1"/>
  <c r="H703" i="17" s="1"/>
  <c r="H704" i="17" a="1"/>
  <c r="H704" i="17" s="1"/>
  <c r="H705" i="17" a="1"/>
  <c r="H705" i="17" s="1"/>
  <c r="H706" i="17" a="1"/>
  <c r="H706" i="17" s="1"/>
  <c r="H707" i="17" a="1"/>
  <c r="H707" i="17" s="1"/>
  <c r="H708" i="17" a="1"/>
  <c r="H708" i="17" s="1"/>
  <c r="H709" i="17" a="1"/>
  <c r="H709" i="17"/>
  <c r="H710" i="17" a="1"/>
  <c r="H710" i="17" s="1"/>
  <c r="H711" i="17" a="1"/>
  <c r="H711" i="17" s="1"/>
  <c r="H712" i="17" a="1"/>
  <c r="H712" i="17" s="1"/>
  <c r="H713" i="17" a="1"/>
  <c r="H713" i="17" s="1"/>
  <c r="H714" i="17" a="1"/>
  <c r="H714" i="17" s="1"/>
  <c r="H715" i="17" a="1"/>
  <c r="H715" i="17" s="1"/>
  <c r="H716" i="17" a="1"/>
  <c r="H716" i="17" s="1"/>
  <c r="H717" i="17" a="1"/>
  <c r="H717" i="17" s="1"/>
  <c r="H718" i="17" a="1"/>
  <c r="H718" i="17" s="1"/>
  <c r="H719" i="17" a="1"/>
  <c r="H719" i="17" s="1"/>
  <c r="H720" i="17" a="1"/>
  <c r="H720" i="17" s="1"/>
  <c r="H721" i="17" a="1"/>
  <c r="H721" i="17" s="1"/>
  <c r="H722" i="17" a="1"/>
  <c r="H722" i="17" s="1"/>
  <c r="H723" i="17" a="1"/>
  <c r="H723" i="17"/>
  <c r="H724" i="17" a="1"/>
  <c r="H724" i="17" s="1"/>
  <c r="H725" i="17" a="1"/>
  <c r="H725" i="17"/>
  <c r="H726" i="17" a="1"/>
  <c r="H726" i="17" s="1"/>
  <c r="H727" i="17" a="1"/>
  <c r="H727" i="17" s="1"/>
  <c r="H728" i="17" a="1"/>
  <c r="H728" i="17" s="1"/>
  <c r="H729" i="17" a="1"/>
  <c r="H729" i="17" s="1"/>
  <c r="H730" i="17" a="1"/>
  <c r="H730" i="17" s="1"/>
  <c r="H731" i="17" a="1"/>
  <c r="H731" i="17" s="1"/>
  <c r="H732" i="17" a="1"/>
  <c r="H732" i="17" s="1"/>
  <c r="H733" i="17" a="1"/>
  <c r="H733" i="17" s="1"/>
  <c r="H734" i="17" a="1"/>
  <c r="H734" i="17" s="1"/>
  <c r="H735" i="17" a="1"/>
  <c r="H735" i="17" s="1"/>
  <c r="H736" i="17" a="1"/>
  <c r="H736" i="17" s="1"/>
  <c r="H737" i="17" a="1"/>
  <c r="H737" i="17" s="1"/>
  <c r="H738" i="17" a="1"/>
  <c r="H738" i="17" s="1"/>
  <c r="H739" i="17" a="1"/>
  <c r="H739" i="17" s="1"/>
  <c r="H740" i="17" a="1"/>
  <c r="H740" i="17" s="1"/>
  <c r="H741" i="17" a="1"/>
  <c r="H741" i="17"/>
  <c r="H742" i="17" a="1"/>
  <c r="H742" i="17" s="1"/>
  <c r="H743" i="17" a="1"/>
  <c r="H743" i="17" s="1"/>
  <c r="H744" i="17" a="1"/>
  <c r="H744" i="17" s="1"/>
  <c r="H745" i="17" a="1"/>
  <c r="H745" i="17" s="1"/>
  <c r="H746" i="17" a="1"/>
  <c r="H746" i="17" s="1"/>
  <c r="H747" i="17" a="1"/>
  <c r="H747" i="17" s="1"/>
  <c r="H748" i="17" a="1"/>
  <c r="H748" i="17" s="1"/>
  <c r="H749" i="17" a="1"/>
  <c r="H749" i="17" s="1"/>
  <c r="H750" i="17" a="1"/>
  <c r="H750" i="17" s="1"/>
  <c r="H751" i="17" a="1"/>
  <c r="H751" i="17" s="1"/>
  <c r="H752" i="17" a="1"/>
  <c r="H752" i="17" s="1"/>
  <c r="H753" i="17" a="1"/>
  <c r="H753" i="17" s="1"/>
  <c r="H754" i="17" a="1"/>
  <c r="H754" i="17" s="1"/>
  <c r="H755" i="17" a="1"/>
  <c r="H755" i="17"/>
  <c r="H756" i="17" a="1"/>
  <c r="H756" i="17" s="1"/>
  <c r="H757" i="17" a="1"/>
  <c r="H757" i="17"/>
  <c r="H758" i="17" a="1"/>
  <c r="H758" i="17" s="1"/>
  <c r="H759" i="17" a="1"/>
  <c r="H759" i="17" s="1"/>
  <c r="H760" i="17" a="1"/>
  <c r="H760" i="17" s="1"/>
  <c r="H761" i="17" a="1"/>
  <c r="H761" i="17" s="1"/>
  <c r="H762" i="17" a="1"/>
  <c r="H762" i="17" s="1"/>
  <c r="H763" i="17" a="1"/>
  <c r="H763" i="17" s="1"/>
  <c r="H764" i="17" a="1"/>
  <c r="H764" i="17" s="1"/>
  <c r="H765" i="17" a="1"/>
  <c r="H765" i="17" s="1"/>
  <c r="H766" i="17" a="1"/>
  <c r="H766" i="17" s="1"/>
  <c r="H767" i="17" a="1"/>
  <c r="H767" i="17" s="1"/>
  <c r="H768" i="17" a="1"/>
  <c r="H768" i="17" s="1"/>
  <c r="H769" i="17" a="1"/>
  <c r="H769" i="17" s="1"/>
  <c r="H770" i="17" a="1"/>
  <c r="H770" i="17" s="1"/>
  <c r="H771" i="17" a="1"/>
  <c r="H771" i="17" s="1"/>
  <c r="H772" i="17" a="1"/>
  <c r="H772" i="17" s="1"/>
  <c r="H773" i="17" a="1"/>
  <c r="H773" i="17"/>
  <c r="H774" i="17" a="1"/>
  <c r="H774" i="17" s="1"/>
  <c r="H775" i="17" a="1"/>
  <c r="H775" i="17" s="1"/>
  <c r="H776" i="17" a="1"/>
  <c r="H776" i="17" s="1"/>
  <c r="H777" i="17" a="1"/>
  <c r="H777" i="17" s="1"/>
  <c r="H778" i="17" a="1"/>
  <c r="H778" i="17" s="1"/>
  <c r="H779" i="17" a="1"/>
  <c r="H779" i="17"/>
  <c r="H780" i="17" a="1"/>
  <c r="H780" i="17" s="1"/>
  <c r="H781" i="17" a="1"/>
  <c r="H781" i="17" s="1"/>
  <c r="H782" i="17" a="1"/>
  <c r="H782" i="17" s="1"/>
  <c r="H783" i="17" a="1"/>
  <c r="H783" i="17" s="1"/>
  <c r="H784" i="17" a="1"/>
  <c r="H784" i="17" s="1"/>
  <c r="H785" i="17" a="1"/>
  <c r="H785" i="17" s="1"/>
  <c r="H786" i="17" a="1"/>
  <c r="H786" i="17" s="1"/>
  <c r="H787" i="17" a="1"/>
  <c r="H787" i="17" s="1"/>
  <c r="H788" i="17" a="1"/>
  <c r="H788" i="17" s="1"/>
  <c r="H789" i="17" a="1"/>
  <c r="H789" i="17"/>
  <c r="H790" i="17" a="1"/>
  <c r="H790" i="17" s="1"/>
  <c r="H791" i="17" a="1"/>
  <c r="H791" i="17" s="1"/>
  <c r="H792" i="17" a="1"/>
  <c r="H792" i="17" s="1"/>
  <c r="H793" i="17" a="1"/>
  <c r="H793" i="17" s="1"/>
  <c r="H794" i="17" a="1"/>
  <c r="H794" i="17" s="1"/>
  <c r="H795" i="17" a="1"/>
  <c r="H795" i="17"/>
  <c r="H796" i="17" a="1"/>
  <c r="H796" i="17" s="1"/>
  <c r="H797" i="17" a="1"/>
  <c r="H797" i="17" s="1"/>
  <c r="H798" i="17" a="1"/>
  <c r="H798" i="17" s="1"/>
  <c r="H799" i="17" a="1"/>
  <c r="H799" i="17" s="1"/>
  <c r="H800" i="17" a="1"/>
  <c r="H800" i="17" s="1"/>
  <c r="H801" i="17" a="1"/>
  <c r="H801" i="17" s="1"/>
  <c r="H802" i="17" a="1"/>
  <c r="H802" i="17" s="1"/>
  <c r="H803" i="17" a="1"/>
  <c r="H803" i="17"/>
  <c r="H804" i="17" a="1"/>
  <c r="H804" i="17" s="1"/>
  <c r="H805" i="17" a="1"/>
  <c r="H805" i="17" s="1"/>
  <c r="H806" i="17" a="1"/>
  <c r="H806" i="17" s="1"/>
  <c r="H807" i="17" a="1"/>
  <c r="H807" i="17" s="1"/>
  <c r="H808" i="17" a="1"/>
  <c r="H808" i="17" s="1"/>
  <c r="H809" i="17" a="1"/>
  <c r="H809" i="17" s="1"/>
  <c r="H810" i="17" a="1"/>
  <c r="H810" i="17" s="1"/>
  <c r="H811" i="17" a="1"/>
  <c r="H811" i="17"/>
  <c r="H812" i="17" a="1"/>
  <c r="H812" i="17" s="1"/>
  <c r="H813" i="17" a="1"/>
  <c r="H813" i="17" s="1"/>
  <c r="H814" i="17" a="1"/>
  <c r="H814" i="17" s="1"/>
  <c r="H815" i="17" a="1"/>
  <c r="H815" i="17" s="1"/>
  <c r="H816" i="17" a="1"/>
  <c r="H816" i="17" s="1"/>
  <c r="H817" i="17" a="1"/>
  <c r="H817" i="17" s="1"/>
  <c r="H818" i="17" a="1"/>
  <c r="H818" i="17" s="1"/>
  <c r="H819" i="17" a="1"/>
  <c r="H819" i="17" s="1"/>
  <c r="H820" i="17" a="1"/>
  <c r="H820" i="17" s="1"/>
  <c r="H821" i="17" a="1"/>
  <c r="H821" i="17"/>
  <c r="H822" i="17" a="1"/>
  <c r="H822" i="17" s="1"/>
  <c r="H823" i="17" a="1"/>
  <c r="H823" i="17" s="1"/>
  <c r="H824" i="17" a="1"/>
  <c r="H824" i="17" s="1"/>
  <c r="H825" i="17" a="1"/>
  <c r="H825" i="17" s="1"/>
  <c r="H826" i="17" a="1"/>
  <c r="H826" i="17" s="1"/>
  <c r="H827" i="17" a="1"/>
  <c r="H827" i="17"/>
  <c r="H828" i="17" a="1"/>
  <c r="H828" i="17" s="1"/>
  <c r="H829" i="17" a="1"/>
  <c r="H829" i="17" s="1"/>
  <c r="H830" i="17" a="1"/>
  <c r="H830" i="17" s="1"/>
  <c r="H831" i="17" a="1"/>
  <c r="H831" i="17" s="1"/>
  <c r="H832" i="17" a="1"/>
  <c r="H832" i="17" s="1"/>
  <c r="H833" i="17" a="1"/>
  <c r="H833" i="17" s="1"/>
  <c r="H834" i="17" a="1"/>
  <c r="H834" i="17" s="1"/>
  <c r="H835" i="17" a="1"/>
  <c r="H835" i="17"/>
  <c r="H836" i="17" a="1"/>
  <c r="H836" i="17" s="1"/>
  <c r="H837" i="17" a="1"/>
  <c r="H837" i="17"/>
  <c r="H838" i="17" a="1"/>
  <c r="H838" i="17" s="1"/>
  <c r="H839" i="17" a="1"/>
  <c r="H839" i="17" s="1"/>
  <c r="H840" i="17" a="1"/>
  <c r="H840" i="17" s="1"/>
  <c r="H841" i="17" a="1"/>
  <c r="H841" i="17" s="1"/>
  <c r="H842" i="17" a="1"/>
  <c r="H842" i="17" s="1"/>
  <c r="H843" i="17" a="1"/>
  <c r="H843" i="17"/>
  <c r="H844" i="17" a="1"/>
  <c r="H844" i="17" s="1"/>
  <c r="H845" i="17" a="1"/>
  <c r="H845" i="17" s="1"/>
  <c r="H846" i="17" a="1"/>
  <c r="H846" i="17" s="1"/>
  <c r="H847" i="17" a="1"/>
  <c r="H847" i="17"/>
  <c r="H848" i="17" a="1"/>
  <c r="H848" i="17" s="1"/>
  <c r="H849" i="17" a="1"/>
  <c r="H849" i="17" s="1"/>
  <c r="H850" i="17" a="1"/>
  <c r="H850" i="17" s="1"/>
  <c r="H851" i="17" a="1"/>
  <c r="H851" i="17" s="1"/>
  <c r="H852" i="17" a="1"/>
  <c r="H852" i="17" s="1"/>
  <c r="H853" i="17" a="1"/>
  <c r="H853" i="17"/>
  <c r="H854" i="17" a="1"/>
  <c r="H854" i="17" s="1"/>
  <c r="H855" i="17" a="1"/>
  <c r="H855" i="17" s="1"/>
  <c r="H856" i="17" a="1"/>
  <c r="H856" i="17" s="1"/>
  <c r="H857" i="17" a="1"/>
  <c r="H857" i="17" s="1"/>
  <c r="H858" i="17" a="1"/>
  <c r="H858" i="17" s="1"/>
  <c r="H859" i="17" a="1"/>
  <c r="H859" i="17" s="1"/>
  <c r="H860" i="17" a="1"/>
  <c r="H860" i="17" s="1"/>
  <c r="H861" i="17" a="1"/>
  <c r="H861" i="17"/>
  <c r="H862" i="17" a="1"/>
  <c r="H862" i="17" s="1"/>
  <c r="H863" i="17" a="1"/>
  <c r="H863" i="17" s="1"/>
  <c r="H864" i="17" a="1"/>
  <c r="H864" i="17" s="1"/>
  <c r="H865" i="17" a="1"/>
  <c r="H865" i="17" s="1"/>
  <c r="H866" i="17" a="1"/>
  <c r="H866" i="17" s="1"/>
  <c r="H867" i="17" a="1"/>
  <c r="H867" i="17" s="1"/>
  <c r="H868" i="17" a="1"/>
  <c r="H868" i="17" s="1"/>
  <c r="H869" i="17" a="1"/>
  <c r="H869" i="17" s="1"/>
  <c r="H870" i="17" a="1"/>
  <c r="H870" i="17" s="1"/>
  <c r="H871" i="17" a="1"/>
  <c r="H871" i="17" s="1"/>
  <c r="H872" i="17" a="1"/>
  <c r="H872" i="17" s="1"/>
  <c r="H873" i="17" a="1"/>
  <c r="H873" i="17" s="1"/>
  <c r="H874" i="17" a="1"/>
  <c r="H874" i="17" s="1"/>
  <c r="H875" i="17" a="1"/>
  <c r="H875" i="17"/>
  <c r="H876" i="17" a="1"/>
  <c r="H876" i="17" s="1"/>
  <c r="H877" i="17" a="1"/>
  <c r="H877" i="17"/>
  <c r="H878" i="17" a="1"/>
  <c r="H878" i="17" s="1"/>
  <c r="H879" i="17" a="1"/>
  <c r="H879" i="17" s="1"/>
  <c r="H880" i="17" a="1"/>
  <c r="H880" i="17" s="1"/>
  <c r="H881" i="17" a="1"/>
  <c r="H881" i="17" s="1"/>
  <c r="H882" i="17" a="1"/>
  <c r="H882" i="17" s="1"/>
  <c r="H883" i="17" a="1"/>
  <c r="H883" i="17" s="1"/>
  <c r="H884" i="17" a="1"/>
  <c r="H884" i="17" s="1"/>
  <c r="H885" i="17" a="1"/>
  <c r="H885" i="17"/>
  <c r="H886" i="17" a="1"/>
  <c r="H886" i="17" s="1"/>
  <c r="H887" i="17" a="1"/>
  <c r="H887" i="17" s="1"/>
  <c r="H888" i="17" a="1"/>
  <c r="H888" i="17" s="1"/>
  <c r="H889" i="17" a="1"/>
  <c r="H889" i="17" s="1"/>
  <c r="H890" i="17" a="1"/>
  <c r="H890" i="17" s="1"/>
  <c r="H891" i="17" a="1"/>
  <c r="H891" i="17"/>
  <c r="H892" i="17" a="1"/>
  <c r="H892" i="17" s="1"/>
  <c r="H893" i="17" a="1"/>
  <c r="H893" i="17"/>
  <c r="H894" i="17" a="1"/>
  <c r="H894" i="17" s="1"/>
  <c r="H895" i="17" a="1"/>
  <c r="H895" i="17" s="1"/>
  <c r="H896" i="17" a="1"/>
  <c r="H896" i="17" s="1"/>
  <c r="H897" i="17" a="1"/>
  <c r="H897" i="17" s="1"/>
  <c r="H898" i="17" a="1"/>
  <c r="H898" i="17" s="1"/>
  <c r="H899" i="17" a="1"/>
  <c r="H899" i="17" s="1"/>
  <c r="H900" i="17" a="1"/>
  <c r="H900" i="17" s="1"/>
  <c r="H901" i="17" a="1"/>
  <c r="H901" i="17"/>
  <c r="H902" i="17" a="1"/>
  <c r="H902" i="17" s="1"/>
  <c r="H903" i="17" a="1"/>
  <c r="H903" i="17" s="1"/>
  <c r="H904" i="17" a="1"/>
  <c r="H904" i="17" s="1"/>
  <c r="H905" i="17" a="1"/>
  <c r="H905" i="17" s="1"/>
  <c r="H906" i="17" a="1"/>
  <c r="H906" i="17" s="1"/>
  <c r="H907" i="17" a="1"/>
  <c r="H907" i="17"/>
  <c r="H908" i="17" a="1"/>
  <c r="H908" i="17" s="1"/>
  <c r="H909" i="17" a="1"/>
  <c r="H909" i="17"/>
  <c r="H910" i="17" a="1"/>
  <c r="H910" i="17" s="1"/>
  <c r="H911" i="17" a="1"/>
  <c r="H911" i="17" s="1"/>
  <c r="H912" i="17" a="1"/>
  <c r="H912" i="17" s="1"/>
  <c r="H913" i="17" a="1"/>
  <c r="H913" i="17" s="1"/>
  <c r="H914" i="17" a="1"/>
  <c r="H914" i="17" s="1"/>
  <c r="H915" i="17" a="1"/>
  <c r="H915" i="17" s="1"/>
  <c r="H916" i="17" a="1"/>
  <c r="H916" i="17" s="1"/>
  <c r="H917" i="17" a="1"/>
  <c r="H917" i="17"/>
  <c r="H918" i="17" a="1"/>
  <c r="H918" i="17" s="1"/>
  <c r="H919" i="17" a="1"/>
  <c r="H919" i="17" s="1"/>
  <c r="H920" i="17" a="1"/>
  <c r="H920" i="17" s="1"/>
  <c r="H921" i="17" a="1"/>
  <c r="H921" i="17" s="1"/>
  <c r="H922" i="17" a="1"/>
  <c r="H922" i="17" s="1"/>
  <c r="H923" i="17" a="1"/>
  <c r="H923" i="17" s="1"/>
  <c r="H924" i="17" a="1"/>
  <c r="H924" i="17" s="1"/>
  <c r="H925" i="17" a="1"/>
  <c r="H925" i="17"/>
  <c r="H926" i="17" a="1"/>
  <c r="H926" i="17" s="1"/>
  <c r="H927" i="17" a="1"/>
  <c r="H927" i="17" s="1"/>
  <c r="H928" i="17" a="1"/>
  <c r="H928" i="17" s="1"/>
  <c r="H929" i="17" a="1"/>
  <c r="H929" i="17" s="1"/>
  <c r="H930" i="17" a="1"/>
  <c r="H930" i="17" s="1"/>
  <c r="H931" i="17" a="1"/>
  <c r="H931" i="17"/>
  <c r="H932" i="17" a="1"/>
  <c r="H932" i="17" s="1"/>
  <c r="H933" i="17" a="1"/>
  <c r="H933" i="17"/>
  <c r="H934" i="17" a="1"/>
  <c r="H934" i="17" s="1"/>
  <c r="H935" i="17" a="1"/>
  <c r="H935" i="17" s="1"/>
  <c r="H936" i="17" a="1"/>
  <c r="H936" i="17" s="1"/>
  <c r="H937" i="17" a="1"/>
  <c r="H937" i="17"/>
  <c r="H938" i="17" a="1"/>
  <c r="H938" i="17" s="1"/>
  <c r="H939" i="17" a="1"/>
  <c r="H939" i="17"/>
  <c r="H940" i="17" a="1"/>
  <c r="H940" i="17" s="1"/>
  <c r="H941" i="17" a="1"/>
  <c r="H941" i="17"/>
  <c r="H942" i="17" a="1"/>
  <c r="H942" i="17" s="1"/>
  <c r="H943" i="17" a="1"/>
  <c r="H943" i="17" s="1"/>
  <c r="H944" i="17" a="1"/>
  <c r="H944" i="17" s="1"/>
  <c r="H945" i="17" a="1"/>
  <c r="H945" i="17"/>
  <c r="H946" i="17" a="1"/>
  <c r="H946" i="17" s="1"/>
  <c r="H947" i="17" a="1"/>
  <c r="H947" i="17"/>
  <c r="H948" i="17" a="1"/>
  <c r="H948" i="17" s="1"/>
  <c r="H949" i="17" a="1"/>
  <c r="H949" i="17"/>
  <c r="H950" i="17" a="1"/>
  <c r="H950" i="17" s="1"/>
  <c r="H951" i="17" a="1"/>
  <c r="H951" i="17" s="1"/>
  <c r="H952" i="17" a="1"/>
  <c r="H952" i="17" s="1"/>
  <c r="H953" i="17" a="1"/>
  <c r="H953" i="17"/>
  <c r="H954" i="17" a="1"/>
  <c r="H954" i="17" s="1"/>
  <c r="H955" i="17" a="1"/>
  <c r="H955" i="17" s="1"/>
  <c r="H956" i="17" a="1"/>
  <c r="H956" i="17" s="1"/>
  <c r="H957" i="17" a="1"/>
  <c r="H957" i="17"/>
  <c r="H958" i="17" a="1"/>
  <c r="H958" i="17" s="1"/>
  <c r="H959" i="17" a="1"/>
  <c r="H959" i="17" s="1"/>
  <c r="H960" i="17" a="1"/>
  <c r="H960" i="17" s="1"/>
  <c r="H961" i="17" a="1"/>
  <c r="H961" i="17" s="1"/>
  <c r="H962" i="17" a="1"/>
  <c r="H962" i="17" s="1"/>
  <c r="H963" i="17" a="1"/>
  <c r="H963" i="17"/>
  <c r="H964" i="17" a="1"/>
  <c r="H964" i="17" s="1"/>
  <c r="H965" i="17" a="1"/>
  <c r="H965" i="17"/>
  <c r="H966" i="17" a="1"/>
  <c r="H966" i="17" s="1"/>
  <c r="H967" i="17" a="1"/>
  <c r="H967" i="17" s="1"/>
  <c r="H968" i="17" a="1"/>
  <c r="H968" i="17" s="1"/>
  <c r="H969" i="17" a="1"/>
  <c r="H969" i="17"/>
  <c r="H970" i="17" a="1"/>
  <c r="H970" i="17" s="1"/>
  <c r="H971" i="17" a="1"/>
  <c r="H971" i="17"/>
  <c r="H972" i="17" a="1"/>
  <c r="H972" i="17" s="1"/>
  <c r="H973" i="17" a="1"/>
  <c r="H973" i="17"/>
  <c r="H974" i="17" a="1"/>
  <c r="H974" i="17" s="1"/>
  <c r="H975" i="17" a="1"/>
  <c r="H975" i="17" s="1"/>
  <c r="H976" i="17" a="1"/>
  <c r="H976" i="17" s="1"/>
  <c r="H977" i="17" a="1"/>
  <c r="H977" i="17"/>
  <c r="H978" i="17" a="1"/>
  <c r="H978" i="17" s="1"/>
  <c r="H979" i="17" a="1"/>
  <c r="H979" i="17"/>
  <c r="H980" i="17" a="1"/>
  <c r="H980" i="17" s="1"/>
  <c r="H981" i="17" a="1"/>
  <c r="H981" i="17"/>
  <c r="H982" i="17" a="1"/>
  <c r="H982" i="17" s="1"/>
  <c r="H983" i="17" a="1"/>
  <c r="H983" i="17" s="1"/>
  <c r="H984" i="17" a="1"/>
  <c r="H984" i="17" s="1"/>
  <c r="H985" i="17" a="1"/>
  <c r="H985" i="17"/>
  <c r="H986" i="17" a="1"/>
  <c r="H986" i="17" s="1"/>
  <c r="H987" i="17" a="1"/>
  <c r="H987" i="17" s="1"/>
  <c r="H988" i="17" a="1"/>
  <c r="H988" i="17" s="1"/>
  <c r="H989" i="17" a="1"/>
  <c r="H989" i="17"/>
  <c r="H990" i="17" a="1"/>
  <c r="H990" i="17" s="1"/>
  <c r="H991" i="17" a="1"/>
  <c r="H991" i="17" s="1"/>
  <c r="H992" i="17" a="1"/>
  <c r="H992" i="17" s="1"/>
  <c r="H993" i="17" a="1"/>
  <c r="H993" i="17" s="1"/>
  <c r="H994" i="17" a="1"/>
  <c r="H994" i="17" s="1"/>
  <c r="H995" i="17" a="1"/>
  <c r="H995" i="17"/>
  <c r="H996" i="17" a="1"/>
  <c r="H996" i="17" s="1"/>
  <c r="H997" i="17" a="1"/>
  <c r="H997" i="17"/>
  <c r="H998" i="17" a="1"/>
  <c r="H998" i="17" s="1"/>
  <c r="H999" i="17" a="1"/>
  <c r="H999" i="17" s="1"/>
  <c r="H1000" i="17" a="1"/>
  <c r="H1000" i="17" s="1"/>
  <c r="H1001" i="17" a="1"/>
  <c r="H1001" i="17"/>
  <c r="H3" i="17" a="1"/>
  <c r="H3" i="17" s="1"/>
  <c r="H4" i="17" a="1"/>
  <c r="H4" i="17"/>
  <c r="H5" i="17" a="1"/>
  <c r="H5" i="17" s="1"/>
  <c r="H6" i="17" a="1"/>
  <c r="H6" i="17"/>
  <c r="H7" i="17" a="1"/>
  <c r="H7" i="17" s="1"/>
  <c r="H8" i="17" a="1"/>
  <c r="H8" i="17" s="1"/>
  <c r="H2" i="17" a="1"/>
  <c r="H2"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<sst xmlns="http://schemas.openxmlformats.org/spreadsheetml/2006/main" count="11090" uniqueCount="6217">
  <si>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</si>
  <si>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</si>
  <si>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</si>
  <si>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</si>
  <si>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</si>
  <si>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</si>
  <si>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</si>
  <si>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</si>
  <si>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</si>
  <si>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</si>
  <si>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</si>
  <si>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</si>
  <si>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</si>
  <si>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</si>
  <si>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</si>
  <si>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</si>
  <si>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</si>
  <si>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</si>
  <si>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</si>
  <si>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</si>
  <si>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</si>
  <si>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</si>
  <si>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</si>
  <si>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</si>
  <si>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</si>
  <si>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</si>
  <si>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</si>
  <si>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</si>
  <si>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</si>
  <si>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</si>
  <si>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</si>
  <si>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</si>
  <si>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</si>
  <si>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</si>
  <si>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</si>
  <si>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</si>
  <si>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</si>
  <si>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</si>
  <si>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</si>
  <si>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</si>
  <si>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</si>
  <si>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</si>
  <si>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</si>
  <si>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</si>
  <si>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</si>
  <si>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</si>
  <si>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</si>
  <si>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</si>
  <si>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</si>
  <si>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</si>
  <si>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</si>
  <si>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</si>
  <si>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</si>
  <si>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</si>
  <si>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</si>
  <si>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</si>
  <si>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</si>
  <si>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</si>
  <si>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</si>
  <si>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</si>
  <si>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</si>
  <si>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</si>
  <si>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</si>
  <si>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</si>
  <si>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</si>
  <si>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</si>
  <si>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</si>
  <si>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</si>
  <si>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</si>
  <si>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</si>
  <si>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</si>
  <si>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</si>
  <si>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</si>
  <si>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</si>
  <si>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</si>
  <si>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</si>
  <si>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</si>
  <si>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</si>
  <si>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</si>
  <si>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</si>
  <si>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</si>
  <si>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</si>
  <si>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</si>
  <si>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</si>
  <si>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</si>
  <si>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</si>
  <si>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</si>
  <si>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</si>
  <si>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</si>
  <si>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</si>
  <si>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</si>
  <si>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</si>
  <si>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</si>
  <si>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</si>
  <si>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</si>
  <si>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</si>
  <si>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</si>
  <si>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</si>
  <si>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</si>
  <si>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</si>
  <si>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</si>
  <si>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</si>
  <si>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</si>
  <si>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</si>
  <si>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</si>
  <si>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</si>
  <si>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</si>
  <si>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</si>
  <si>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</si>
  <si>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</si>
  <si>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</si>
  <si>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</si>
  <si>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</si>
  <si>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</si>
  <si>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</si>
  <si>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</si>
  <si>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</si>
  <si>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</si>
  <si>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</si>
  <si>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</si>
  <si>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</si>
  <si>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</si>
  <si>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</si>
  <si>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</si>
  <si>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</si>
  <si>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</si>
  <si>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</si>
  <si>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</si>
  <si>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</si>
  <si>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</si>
  <si>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</si>
  <si>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</si>
  <si>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</si>
  <si>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</si>
  <si>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</si>
  <si>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</si>
  <si>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</si>
  <si>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</si>
  <si>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</si>
  <si>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</si>
  <si>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</si>
  <si>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</si>
  <si>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</si>
  <si>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</si>
  <si>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</si>
  <si>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</si>
  <si>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</si>
  <si>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</si>
  <si>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</si>
  <si>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</si>
  <si>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</si>
  <si>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</si>
  <si>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</si>
  <si>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</si>
  <si>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</si>
  <si>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</si>
  <si>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</si>
  <si>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</si>
  <si>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</si>
  <si>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</si>
  <si>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</si>
  <si>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</si>
  <si>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</si>
  <si>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</si>
  <si>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</si>
  <si>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</si>
  <si>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</si>
  <si>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</si>
  <si>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</si>
  <si>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</si>
  <si>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</si>
  <si>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</si>
  <si>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</si>
  <si>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</si>
  <si>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</si>
  <si>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</si>
  <si>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</si>
  <si>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</si>
  <si>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</si>
  <si>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</si>
  <si>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</si>
  <si>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</si>
  <si>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</si>
  <si>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</si>
  <si>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</si>
  <si>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</si>
  <si>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</si>
  <si>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</si>
  <si>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</si>
  <si>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</si>
  <si>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</si>
  <si>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</si>
  <si>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</si>
  <si>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</si>
  <si>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</si>
  <si>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</si>
  <si>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</si>
  <si>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</si>
  <si>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</si>
  <si>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</si>
  <si>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</si>
  <si>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</si>
  <si>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</si>
  <si>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</si>
  <si>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</si>
  <si>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</si>
  <si>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</si>
  <si>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</si>
  <si>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</si>
  <si>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</si>
  <si>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</si>
  <si>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</si>
  <si>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</si>
  <si>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</si>
  <si>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</si>
  <si>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</si>
  <si>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</si>
  <si>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</si>
  <si>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</si>
  <si>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</si>
  <si>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</si>
  <si>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</si>
  <si>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</si>
  <si>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</si>
  <si>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</si>
  <si>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</si>
  <si>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</si>
  <si>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</si>
  <si>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</si>
  <si>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</si>
  <si>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</si>
  <si>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</si>
  <si>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</si>
  <si>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</si>
  <si>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</si>
  <si>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</si>
  <si>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</si>
  <si>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</si>
  <si>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</si>
  <si>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</si>
  <si>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</si>
  <si>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</si>
  <si>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</si>
  <si>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</si>
  <si>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</si>
  <si>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</si>
  <si>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</si>
  <si>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</si>
  <si>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</si>
  <si>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</si>
  <si>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</si>
  <si>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</si>
  <si>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</si>
  <si>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</si>
  <si>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</si>
  <si>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</si>
  <si>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</si>
  <si>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</si>
  <si>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</si>
  <si>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</si>
  <si>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</si>
  <si>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</si>
  <si>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</si>
  <si>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</si>
  <si>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</si>
  <si>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</si>
  <si>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</si>
  <si>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</si>
  <si>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</si>
  <si>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</si>
  <si>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</si>
  <si>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</si>
  <si>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</si>
  <si>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</si>
  <si>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</si>
  <si>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</si>
  <si>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</si>
  <si>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</si>
  <si>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</si>
  <si>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</si>
  <si>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</si>
  <si>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</si>
  <si>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</si>
  <si>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</si>
  <si>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</si>
  <si>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</si>
  <si>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</si>
  <si>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</si>
  <si>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</si>
  <si>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</si>
  <si>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</si>
  <si>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</si>
  <si>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</si>
  <si>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</si>
  <si>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</si>
  <si>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</si>
  <si>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</si>
  <si>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</si>
  <si>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</si>
  <si>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</si>
  <si>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</si>
  <si>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</si>
  <si>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</si>
  <si>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</si>
  <si>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</si>
  <si>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</si>
  <si>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</si>
  <si>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</si>
  <si>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</si>
  <si>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</si>
  <si>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</si>
  <si>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</si>
  <si>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</si>
  <si>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</si>
  <si>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</si>
  <si>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</si>
  <si>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</si>
  <si>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</si>
  <si>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</si>
  <si>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</si>
  <si>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</si>
  <si>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</si>
  <si>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</si>
  <si>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</si>
  <si>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</si>
  <si>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</si>
  <si>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</si>
  <si>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</si>
  <si>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</si>
  <si>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</si>
  <si>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</si>
  <si>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</si>
  <si>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</si>
  <si>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</si>
  <si>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</si>
  <si>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</si>
  <si>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</si>
  <si>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</si>
  <si>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</si>
  <si>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</si>
  <si>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</si>
  <si>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</si>
  <si>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</si>
  <si>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</si>
  <si>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</si>
  <si>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</si>
  <si>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</si>
  <si>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</si>
  <si>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</si>
  <si>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</si>
  <si>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</si>
  <si>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</si>
  <si>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</si>
  <si>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</si>
  <si>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</si>
  <si>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</si>
  <si>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</si>
  <si>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</si>
  <si>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</si>
  <si>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</si>
  <si>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</si>
  <si>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</si>
  <si>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</si>
  <si>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</si>
  <si>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</si>
  <si>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</si>
  <si>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</si>
  <si>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</si>
  <si>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</si>
  <si>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</si>
  <si>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</si>
  <si>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</si>
  <si>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</si>
  <si>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</si>
  <si>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</si>
  <si>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</si>
  <si>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</si>
  <si>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</si>
  <si>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</si>
  <si>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</si>
  <si>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</si>
  <si>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</si>
  <si>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</si>
  <si>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</si>
  <si>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</si>
  <si>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</si>
  <si>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</si>
  <si>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</si>
  <si>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</si>
  <si>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</si>
  <si>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</si>
  <si>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</si>
  <si>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</si>
  <si>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</si>
  <si>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</si>
  <si>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</si>
  <si>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</si>
  <si>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</si>
  <si>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</si>
  <si>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</si>
  <si>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</si>
  <si>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</si>
  <si>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</si>
  <si>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</si>
  <si>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</si>
  <si>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</si>
  <si>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</si>
  <si>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</si>
  <si>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</si>
  <si>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</si>
  <si>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</si>
  <si>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</si>
  <si>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</si>
  <si>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</si>
  <si>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</si>
  <si>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</si>
  <si>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</si>
  <si>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</si>
  <si>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</si>
  <si>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</si>
  <si>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</si>
  <si>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</si>
  <si>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</si>
  <si>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</si>
  <si>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</si>
  <si>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</si>
  <si>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</si>
  <si>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</si>
  <si>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</si>
  <si>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</si>
  <si>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</si>
  <si>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</si>
  <si>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</si>
  <si>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</si>
  <si>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</si>
  <si>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</si>
  <si>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</si>
  <si>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</si>
  <si>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</si>
  <si>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</si>
  <si>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</si>
  <si>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</si>
  <si>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</si>
  <si>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</si>
  <si>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</si>
  <si>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</si>
  <si>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</si>
  <si>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</si>
  <si>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</si>
  <si>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</si>
  <si>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</si>
  <si>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</si>
  <si>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</si>
  <si>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</si>
  <si>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</si>
  <si>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</si>
  <si>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</si>
  <si>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</si>
  <si>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</si>
  <si>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</si>
  <si>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</si>
  <si>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</si>
  <si>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</si>
  <si>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</si>
  <si>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</si>
  <si>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</si>
  <si>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</si>
  <si>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</si>
  <si>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</si>
  <si>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</si>
  <si>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</si>
  <si>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</si>
  <si>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</si>
  <si>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</si>
  <si>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</si>
  <si>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</si>
  <si>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</si>
  <si>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</si>
  <si>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</si>
  <si>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</si>
  <si>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</si>
  <si>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</si>
  <si>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</si>
  <si>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</si>
  <si>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</si>
  <si>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</si>
  <si>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</si>
  <si>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</si>
  <si>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</si>
  <si>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</si>
  <si>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</si>
  <si>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</si>
  <si>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</si>
  <si>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</si>
  <si>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</si>
  <si>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</si>
  <si>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</si>
  <si>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</si>
  <si>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</si>
  <si>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</si>
  <si>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</si>
  <si>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</si>
  <si>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</si>
  <si>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</si>
  <si>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</si>
  <si>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</si>
  <si>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</si>
  <si>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</si>
  <si>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</si>
  <si>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</si>
  <si>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</si>
  <si>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</si>
  <si>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</si>
  <si>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</si>
  <si>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</si>
  <si>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</si>
  <si>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</si>
  <si>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</si>
  <si>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</si>
  <si>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</si>
  <si>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</si>
  <si>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</si>
  <si>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</si>
  <si>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</si>
  <si>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</si>
  <si>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</si>
  <si>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</si>
  <si>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</si>
  <si>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</si>
  <si>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</si>
  <si>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</si>
  <si>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</si>
  <si>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</si>
  <si>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</si>
  <si>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</si>
  <si>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</si>
  <si>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</si>
  <si>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</si>
  <si>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</si>
  <si>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</si>
  <si>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</si>
  <si>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</si>
  <si>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</si>
  <si>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</si>
  <si>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</si>
  <si>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</si>
  <si>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</si>
  <si>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</si>
  <si>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</si>
  <si>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</si>
  <si>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</si>
  <si>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</si>
  <si>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</si>
  <si>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</si>
  <si>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</si>
  <si>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</si>
  <si>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</si>
  <si>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</si>
  <si>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</si>
  <si>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</si>
  <si>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</si>
  <si>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</si>
  <si>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</si>
  <si>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</si>
  <si>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</si>
  <si>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</si>
  <si>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</si>
  <si>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</si>
  <si>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</si>
  <si>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</si>
  <si>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</si>
  <si>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</si>
  <si>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</si>
  <si>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</si>
  <si>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</si>
  <si>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</si>
  <si>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</si>
  <si>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</si>
  <si>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</si>
  <si>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</si>
  <si>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</si>
  <si>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</si>
  <si>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</si>
  <si>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</si>
  <si>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</si>
  <si>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</si>
  <si>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</si>
  <si>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</si>
  <si>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</si>
  <si>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</si>
  <si>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</si>
  <si>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</si>
  <si>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</si>
  <si>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</si>
  <si>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</si>
  <si>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</si>
  <si>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</si>
  <si>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</si>
  <si>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</si>
  <si>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</si>
  <si>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</si>
  <si>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</si>
  <si>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</si>
  <si>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</si>
  <si>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</si>
  <si>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</si>
  <si>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</si>
  <si>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</si>
  <si>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</si>
  <si>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</si>
  <si>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</si>
  <si>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</si>
  <si>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</si>
  <si>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</si>
  <si>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</si>
  <si>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</si>
  <si>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</si>
  <si>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</si>
  <si>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</si>
  <si>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</si>
  <si>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</si>
  <si>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</si>
  <si>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</si>
  <si>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</si>
  <si>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</si>
  <si>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</si>
  <si>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</si>
  <si>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</si>
  <si>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</si>
  <si>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</si>
  <si>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</si>
  <si>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</si>
  <si>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</si>
  <si>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</si>
  <si>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</si>
  <si>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</si>
  <si>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</si>
  <si>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</si>
  <si>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</si>
  <si>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</si>
  <si>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</si>
  <si>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</si>
  <si>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</si>
  <si>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</si>
  <si>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</si>
  <si>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</si>
  <si>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</si>
  <si>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</si>
  <si>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</si>
  <si>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</si>
  <si>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</si>
  <si>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</si>
  <si>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</si>
  <si>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</si>
  <si>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</si>
  <si>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</si>
  <si>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</si>
  <si>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</si>
  <si>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</si>
  <si>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</si>
  <si>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</si>
  <si>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</si>
  <si>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</si>
  <si>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</si>
  <si>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</si>
  <si>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</si>
  <si>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</si>
  <si>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</si>
  <si>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</si>
  <si>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</si>
  <si>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</si>
  <si>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</si>
  <si>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</si>
  <si>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</si>
  <si>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</si>
  <si>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</si>
  <si>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</si>
  <si>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</si>
  <si>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</si>
  <si>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</si>
  <si>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</si>
  <si>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</si>
  <si>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</si>
  <si>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</si>
  <si>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</si>
  <si>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</si>
  <si>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</si>
  <si>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</si>
  <si>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</si>
  <si>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</si>
  <si>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</si>
  <si>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</si>
  <si>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</si>
  <si>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</si>
  <si>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</si>
  <si>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</si>
  <si>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</si>
  <si>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</si>
  <si>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</si>
  <si>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</si>
  <si>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</si>
  <si>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</si>
  <si>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</si>
  <si>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</si>
  <si>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</si>
  <si>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</si>
  <si>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</si>
  <si>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</si>
  <si>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</si>
  <si>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</si>
  <si>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</si>
  <si>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</si>
  <si>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</si>
  <si>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</si>
  <si>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</si>
  <si>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</si>
  <si>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</si>
  <si>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</si>
  <si>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</si>
  <si>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</si>
  <si>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</si>
  <si>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</si>
  <si>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</si>
  <si>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</si>
  <si>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</si>
  <si>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</si>
  <si>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</si>
  <si>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</si>
  <si>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</si>
  <si>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</si>
  <si>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</si>
  <si>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</si>
  <si>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</si>
  <si>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</si>
  <si>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</si>
  <si>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</si>
  <si>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</si>
  <si>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</si>
  <si>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</si>
  <si>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</si>
  <si>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</si>
  <si>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</si>
  <si>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</si>
  <si>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</si>
  <si>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</si>
  <si>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</si>
  <si>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</si>
  <si>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</si>
  <si>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</si>
  <si>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</si>
  <si>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</si>
  <si>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</si>
  <si>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</si>
  <si>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</si>
  <si>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</si>
  <si>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</si>
  <si>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</si>
  <si>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</si>
  <si>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</si>
  <si>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</si>
  <si>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</si>
  <si>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</si>
  <si>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</si>
  <si>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</si>
  <si>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</si>
  <si>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</si>
  <si>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</si>
  <si>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</si>
  <si>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</si>
  <si>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</si>
  <si>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</si>
  <si>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</si>
  <si>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</si>
  <si>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</si>
  <si>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</si>
  <si>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</si>
  <si>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</si>
  <si>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</si>
  <si>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</si>
  <si>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</si>
  <si>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</si>
  <si>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</si>
  <si>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</si>
  <si>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</si>
  <si>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</si>
  <si>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</si>
  <si>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</si>
  <si>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</si>
  <si>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</si>
  <si>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</si>
  <si>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</si>
  <si>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</si>
  <si>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</si>
  <si>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</si>
  <si>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</si>
  <si>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</si>
  <si>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</si>
  <si>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</si>
  <si>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</si>
  <si>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</si>
  <si>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</si>
  <si>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</si>
  <si>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</si>
  <si>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</si>
  <si>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</si>
  <si>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</si>
  <si>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</si>
  <si>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</si>
  <si>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</si>
  <si>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</si>
  <si>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</si>
  <si>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</si>
  <si>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</si>
  <si>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</si>
  <si>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</si>
  <si>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</si>
  <si>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</si>
  <si>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</si>
  <si>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</si>
  <si>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</si>
  <si>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</si>
  <si>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</si>
  <si>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</si>
  <si>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</si>
  <si>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</si>
  <si>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</si>
  <si>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</si>
  <si>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</si>
  <si>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</si>
  <si>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</si>
  <si>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</si>
  <si>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</si>
  <si>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</si>
  <si>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</si>
  <si>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</si>
  <si>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</si>
  <si>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</si>
  <si>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</si>
  <si>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</si>
  <si>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</si>
  <si>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</si>
  <si>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</si>
  <si>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</si>
  <si>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</si>
  <si>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</si>
  <si>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</si>
  <si>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</si>
  <si>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</si>
  <si>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</si>
  <si>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</si>
  <si>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</si>
  <si>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</si>
  <si>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</si>
  <si>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</si>
  <si>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</si>
  <si>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</si>
  <si>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</si>
  <si>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</si>
  <si>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</si>
  <si>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</si>
  <si>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</si>
  <si>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</si>
  <si>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</si>
  <si>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</si>
  <si>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</si>
  <si>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</si>
  <si>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</si>
  <si>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</si>
  <si>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</si>
  <si>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</si>
  <si>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</si>
  <si>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</si>
  <si>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</si>
  <si>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</si>
  <si>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</si>
  <si>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</si>
  <si>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</si>
  <si>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</si>
  <si>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</si>
  <si>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</si>
  <si>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</si>
  <si>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</si>
  <si>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</si>
  <si>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</si>
  <si>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</si>
  <si>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</si>
  <si>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</si>
  <si>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</si>
  <si>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</si>
  <si>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</si>
  <si>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</si>
  <si>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</si>
  <si>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</si>
  <si>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</si>
  <si>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</si>
  <si>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</si>
  <si>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</si>
  <si>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</si>
  <si>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</si>
  <si>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</si>
  <si>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</si>
  <si>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</si>
  <si>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</si>
  <si>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</si>
  <si>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</si>
  <si>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</si>
  <si>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</si>
  <si>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</si>
  <si>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</si>
  <si>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</si>
  <si>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</si>
  <si>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</si>
  <si>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</si>
  <si>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</si>
  <si>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</si>
  <si>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</si>
  <si>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</si>
  <si>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</si>
  <si>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</si>
  <si>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</si>
  <si>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</si>
  <si>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</si>
  <si>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</si>
  <si>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</si>
  <si>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</si>
  <si>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</si>
  <si>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</si>
  <si>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</si>
  <si>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</si>
  <si>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</si>
  <si>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</si>
  <si>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</si>
  <si>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</si>
  <si>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</si>
  <si>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</si>
  <si>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</si>
  <si>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</si>
  <si>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</si>
  <si>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</si>
  <si>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</si>
  <si>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</si>
  <si>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</si>
  <si>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</si>
  <si>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</si>
  <si>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</si>
  <si>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</si>
  <si>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</si>
  <si>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</si>
  <si>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</si>
  <si>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</si>
  <si>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</si>
  <si>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</si>
  <si>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</si>
  <si>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</si>
  <si>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</si>
  <si>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</si>
  <si>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</si>
  <si>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</si>
  <si>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</si>
  <si>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</si>
  <si>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</si>
  <si>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</si>
  <si>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</si>
  <si>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</si>
  <si>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</si>
  <si>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</si>
  <si>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</si>
  <si>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</si>
  <si>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</si>
  <si>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</si>
  <si>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</si>
  <si>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</si>
  <si>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</si>
  <si>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</si>
  <si>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</si>
  <si>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</si>
  <si>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</si>
  <si>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</si>
  <si>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</si>
  <si>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</si>
  <si>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</si>
  <si>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</si>
  <si>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</si>
  <si>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</si>
  <si>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</si>
  <si>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</si>
  <si>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</si>
  <si>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</si>
  <si>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</si>
  <si>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</si>
  <si>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</si>
  <si>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</si>
  <si>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</si>
  <si>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</si>
  <si>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</si>
  <si>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</si>
  <si>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</si>
  <si>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</si>
  <si>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</si>
  <si>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</si>
  <si>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</si>
  <si>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</si>
  <si>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</si>
  <si>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</si>
  <si>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</si>
  <si>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</si>
  <si>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</si>
  <si>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</si>
  <si>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</si>
  <si>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</si>
  <si>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</si>
  <si>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</si>
  <si>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</si>
  <si>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</si>
  <si>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</si>
  <si>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</si>
  <si>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</si>
  <si>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</si>
  <si>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</si>
  <si>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</si>
  <si>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</si>
  <si>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</si>
  <si>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</si>
  <si>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</si>
  <si>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</si>
  <si>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</si>
  <si>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</si>
  <si>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</si>
  <si>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</si>
  <si>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</si>
  <si>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</si>
  <si>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</si>
  <si>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</si>
  <si>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</si>
  <si>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</si>
  <si>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</si>
  <si>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</si>
  <si>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</si>
  <si>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</si>
  <si>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</si>
  <si>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</si>
  <si>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</si>
  <si>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</si>
  <si>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</si>
  <si>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</si>
  <si>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</si>
  <si>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</si>
  <si>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</si>
  <si>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</si>
  <si>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</si>
  <si>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</si>
  <si>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</si>
  <si>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</si>
  <si>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</si>
  <si>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</si>
  <si>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</si>
  <si>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</si>
  <si>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</si>
  <si>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</si>
  <si>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</si>
  <si>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</si>
  <si>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</si>
  <si>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</si>
  <si>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</si>
  <si>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</si>
  <si>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</si>
  <si>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</si>
  <si>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</si>
  <si>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</si>
  <si>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</si>
  <si>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</si>
  <si>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</si>
  <si>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</si>
  <si>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</si>
  <si>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</si>
  <si>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</si>
  <si>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</si>
  <si>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</si>
  <si>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</si>
  <si>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</si>
  <si>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</si>
  <si>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</si>
  <si>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</si>
  <si>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</si>
  <si>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</si>
  <si>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</si>
  <si>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</si>
  <si>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</si>
  <si>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</si>
  <si>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</si>
  <si>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</si>
  <si>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</si>
  <si>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</si>
  <si>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</si>
  <si>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</si>
  <si>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</si>
  <si>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</si>
  <si>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</si>
  <si>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</si>
  <si>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</si>
  <si>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</si>
  <si>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</si>
  <si>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</si>
  <si>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</si>
  <si>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</si>
  <si>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</si>
  <si>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</si>
  <si>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</si>
  <si>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</si>
  <si>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</si>
  <si>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</si>
  <si>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</si>
  <si>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</si>
  <si>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</si>
  <si>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</si>
  <si>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</si>
  <si>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</si>
  <si>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</si>
  <si>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</si>
  <si>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</si>
  <si>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</si>
  <si>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</si>
  <si>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</si>
  <si>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</si>
  <si>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</si>
  <si>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</si>
  <si>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</si>
  <si>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</si>
  <si>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</si>
  <si>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</si>
  <si>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</si>
  <si>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</si>
  <si>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</si>
  <si>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</si>
  <si>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</si>
  <si>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</si>
  <si>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</si>
  <si>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</si>
  <si>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</si>
  <si>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</si>
  <si>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</si>
  <si>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</si>
  <si>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</si>
  <si>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</si>
  <si>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</si>
  <si>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</si>
  <si>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</si>
  <si>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</si>
  <si>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</si>
  <si>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</si>
  <si>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</si>
  <si>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</si>
  <si>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</si>
  <si>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</si>
  <si>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</si>
  <si>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</si>
  <si>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</si>
  <si>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</si>
  <si>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</si>
  <si>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</si>
  <si>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</si>
  <si>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</si>
  <si>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</si>
  <si>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</si>
  <si>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</si>
  <si>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</si>
  <si>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</si>
  <si>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</si>
  <si>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</si>
  <si>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</si>
  <si>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</si>
  <si>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</si>
  <si>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</si>
  <si>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</si>
  <si>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</si>
  <si>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</si>
  <si>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</si>
  <si>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</si>
  <si>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</si>
  <si>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</si>
  <si>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</si>
  <si>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</si>
  <si>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</si>
  <si>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</si>
  <si>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</si>
  <si>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</si>
  <si>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</si>
  <si>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</si>
  <si>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</si>
  <si>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</si>
  <si>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</si>
  <si>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</si>
  <si>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</si>
  <si>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</si>
  <si>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</si>
  <si>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</si>
  <si>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</si>
  <si>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</si>
  <si>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</si>
  <si>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</si>
  <si>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</si>
  <si>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</si>
  <si>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</si>
  <si>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</si>
  <si>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</si>
  <si>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</si>
  <si>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</si>
  <si>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</si>
  <si>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</si>
  <si>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</si>
  <si>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</si>
  <si>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</si>
  <si>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</si>
  <si>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</si>
  <si>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</si>
  <si>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</si>
  <si>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</si>
  <si>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</si>
  <si>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</si>
  <si>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</si>
  <si>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</si>
  <si>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</si>
  <si>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</si>
  <si>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</si>
  <si>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</si>
  <si>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</si>
  <si>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</si>
  <si>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</si>
  <si>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</si>
  <si>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</si>
  <si>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</si>
  <si>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</si>
  <si>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</si>
  <si>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</si>
  <si>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</si>
  <si>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</si>
  <si>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</si>
  <si>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</si>
  <si>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</si>
  <si>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</si>
  <si>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</si>
  <si>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</si>
  <si>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</si>
  <si>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</si>
  <si>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</si>
  <si>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</si>
  <si>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</si>
  <si>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</si>
  <si>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</si>
  <si>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</si>
  <si>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</si>
  <si>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</si>
  <si>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</si>
  <si>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</si>
  <si>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</si>
  <si>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</si>
  <si>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</si>
  <si>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</si>
  <si>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</si>
  <si>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</si>
  <si>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</si>
  <si>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</si>
  <si>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</si>
  <si>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</si>
  <si>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</si>
  <si>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</si>
  <si>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</si>
  <si>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</si>
  <si>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</si>
  <si>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</si>
  <si>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</si>
  <si>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</si>
  <si>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</si>
  <si>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</si>
  <si>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</si>
  <si>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</si>
  <si>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</si>
  <si>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</si>
  <si>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</si>
  <si>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</si>
  <si>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</si>
  <si>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</si>
  <si>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</si>
  <si>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</si>
  <si>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</si>
  <si>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</si>
  <si>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</si>
  <si>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</si>
  <si>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</si>
  <si>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</si>
  <si>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</si>
  <si>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</si>
  <si>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</si>
  <si>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</si>
  <si>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</si>
  <si>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</si>
  <si>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</si>
  <si>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</si>
  <si>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</si>
  <si>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</si>
  <si>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</si>
  <si>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</si>
  <si>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</si>
  <si>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</si>
  <si>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</si>
  <si>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</si>
  <si>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</si>
  <si>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</si>
  <si>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</si>
  <si>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</si>
  <si>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</si>
  <si>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</si>
  <si>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</si>
  <si>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</si>
  <si>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</si>
  <si>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</si>
  <si>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</si>
  <si>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</si>
  <si>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</si>
  <si>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</si>
  <si>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</si>
  <si>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</si>
  <si>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</si>
  <si>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</si>
  <si>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</si>
  <si>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</si>
  <si>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</si>
  <si>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</si>
  <si>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</si>
  <si>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</si>
  <si>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</si>
  <si>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</si>
  <si>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</si>
  <si>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</si>
  <si>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</si>
  <si>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</si>
  <si>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</si>
  <si>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</si>
  <si>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</si>
  <si>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</si>
  <si>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</si>
  <si>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</si>
  <si>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</si>
  <si>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</si>
  <si>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</si>
  <si>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</si>
  <si>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</si>
  <si>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</si>
  <si>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</si>
  <si>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</si>
  <si>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</si>
  <si>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</si>
  <si>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</si>
  <si>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</si>
  <si>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</si>
  <si>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</si>
  <si>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</si>
  <si>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</si>
  <si>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</si>
  <si>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</si>
  <si>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</si>
  <si>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</si>
  <si>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</si>
  <si>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</si>
  <si>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</si>
  <si>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</si>
  <si>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</si>
  <si>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</si>
  <si>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</si>
  <si>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</si>
  <si>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</si>
  <si>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</si>
  <si>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</si>
  <si>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</si>
  <si>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</si>
  <si>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</si>
  <si>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</si>
  <si>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</si>
  <si>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</si>
  <si>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</si>
  <si>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</si>
  <si>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</si>
  <si>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</si>
  <si>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</si>
  <si>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</si>
  <si>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</si>
  <si>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</si>
  <si>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</si>
  <si>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</si>
  <si>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</si>
  <si>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</si>
  <si>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</si>
  <si>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</si>
  <si>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</si>
  <si>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</si>
  <si>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</si>
  <si>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</si>
  <si>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</si>
  <si>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</si>
  <si>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</si>
  <si>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</si>
  <si>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</si>
  <si>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</si>
  <si>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</si>
  <si>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</si>
  <si>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</si>
  <si>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</si>
  <si>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</si>
  <si>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</si>
  <si>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</si>
  <si>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</si>
  <si>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</si>
  <si>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</si>
  <si>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</si>
  <si>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</si>
  <si>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</si>
  <si>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</si>
  <si>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</si>
  <si>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</si>
  <si>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</si>
  <si>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</si>
  <si>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</si>
  <si>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</si>
  <si>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</si>
  <si>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</si>
  <si>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</si>
  <si>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</si>
  <si>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</si>
  <si>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</si>
  <si>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</si>
  <si>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</si>
  <si>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</si>
  <si>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</si>
  <si>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</si>
  <si>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</si>
  <si>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</si>
  <si>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</si>
  <si>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</si>
  <si>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</si>
  <si>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</si>
  <si>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</si>
  <si>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</si>
  <si>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</si>
  <si>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</si>
  <si>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</si>
  <si>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</si>
  <si>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</si>
  <si>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</si>
  <si>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</si>
  <si>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</si>
  <si>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</si>
  <si>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</si>
  <si>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</si>
  <si>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</si>
  <si>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</si>
  <si>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</si>
  <si>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</si>
  <si>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</si>
  <si>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</si>
  <si>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</si>
  <si>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</si>
  <si>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</si>
  <si>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</si>
  <si>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</si>
  <si>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</si>
  <si>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</si>
  <si>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</si>
  <si>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</si>
  <si>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</si>
  <si>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</si>
  <si>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</si>
  <si>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</si>
  <si>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</si>
  <si>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</si>
  <si>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</si>
  <si>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</si>
  <si>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</si>
  <si>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</si>
  <si>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</si>
  <si>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</si>
  <si>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</si>
  <si>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</si>
  <si>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</si>
  <si>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</si>
  <si>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</si>
  <si>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</si>
  <si>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</si>
  <si>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</si>
  <si>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</si>
  <si>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</si>
  <si>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</si>
  <si>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</si>
  <si>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</si>
  <si>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</si>
  <si>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</si>
  <si>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</si>
  <si>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</si>
  <si>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</si>
  <si>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</si>
  <si>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</si>
  <si>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</si>
  <si>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</si>
  <si>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</si>
  <si>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</si>
  <si>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</si>
  <si>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</si>
  <si>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</si>
  <si>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</si>
  <si>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</si>
  <si>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</si>
  <si>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</si>
  <si>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</si>
  <si>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</si>
  <si>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</si>
  <si>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</si>
  <si>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</si>
  <si>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</si>
  <si>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</si>
  <si>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</si>
  <si>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</si>
  <si>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</si>
  <si>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</si>
  <si>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</si>
  <si>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</si>
  <si>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</si>
  <si>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</si>
  <si>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</si>
  <si>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</si>
  <si>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</si>
  <si>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</si>
  <si>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</si>
  <si>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</si>
  <si>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</si>
  <si>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</si>
  <si>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</si>
  <si>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</si>
  <si>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</si>
  <si>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</si>
  <si>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</si>
  <si>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</si>
  <si>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</si>
  <si>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</si>
  <si>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</si>
  <si>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</si>
  <si>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</si>
  <si>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</si>
  <si>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</si>
  <si>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</si>
  <si>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</si>
  <si>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</si>
  <si>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</si>
  <si>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</si>
  <si>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</si>
  <si>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</si>
  <si>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</si>
  <si>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</si>
  <si>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</si>
  <si>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</si>
  <si>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</si>
  <si>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</si>
  <si>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</si>
  <si>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</si>
  <si>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</si>
  <si>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</si>
  <si>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</si>
  <si>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</si>
  <si>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</si>
  <si>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</si>
  <si>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</si>
  <si>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</si>
  <si>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</si>
  <si>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</si>
  <si>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</si>
  <si>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</si>
  <si>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</si>
  <si>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</si>
  <si>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</si>
  <si>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</si>
  <si>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</si>
  <si>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</si>
  <si>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</si>
  <si>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</si>
  <si>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</si>
  <si>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</si>
  <si>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</si>
  <si>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</si>
  <si>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</si>
  <si>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</si>
  <si>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</si>
  <si>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</si>
  <si>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</si>
  <si>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</si>
  <si>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</si>
  <si>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</si>
  <si>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</si>
  <si>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</si>
  <si>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</si>
  <si>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</si>
  <si>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</si>
  <si>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</si>
  <si>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</si>
  <si>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</si>
  <si>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</si>
  <si>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</si>
  <si>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</si>
  <si>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</si>
  <si>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</si>
  <si>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</si>
  <si>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</si>
  <si>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</si>
  <si>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</si>
  <si>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</si>
  <si>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</si>
  <si>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</si>
  <si>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</si>
  <si>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</si>
  <si>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</si>
  <si>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</si>
  <si>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</si>
  <si>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</si>
  <si>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</si>
  <si>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</si>
  <si>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</si>
  <si>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</si>
  <si>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</si>
  <si>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</si>
  <si>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</si>
  <si>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</si>
  <si>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</si>
  <si>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</si>
  <si>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</si>
  <si>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</si>
  <si>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</si>
  <si>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</si>
  <si>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</si>
  <si>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</si>
  <si>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</si>
  <si>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</si>
  <si>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</si>
  <si>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</si>
  <si>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</si>
  <si>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</si>
  <si>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</si>
  <si>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</si>
  <si>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</si>
  <si>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</si>
  <si>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</si>
  <si>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</si>
  <si>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</si>
  <si>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</si>
  <si>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</si>
  <si>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</si>
  <si>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</si>
  <si>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</si>
  <si>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</si>
  <si>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</si>
  <si>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</si>
  <si>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</si>
  <si>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</si>
  <si>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</si>
  <si>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</si>
  <si>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</si>
  <si>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</si>
  <si>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</si>
  <si>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</si>
  <si>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</si>
  <si>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</si>
  <si>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</si>
  <si>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</si>
  <si>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</si>
  <si>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</si>
  <si>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</si>
  <si>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</si>
  <si>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</si>
  <si>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</si>
  <si>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</si>
  <si>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</si>
  <si>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</si>
  <si>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</si>
  <si>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</si>
  <si>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</si>
  <si>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</si>
  <si>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</si>
  <si>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</si>
  <si>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</si>
  <si>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</si>
  <si>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</si>
  <si>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</si>
  <si>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</si>
  <si>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</si>
  <si>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</si>
  <si>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</si>
  <si>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</si>
  <si>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</si>
  <si>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</si>
  <si>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</si>
  <si>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</si>
  <si>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</si>
  <si>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</si>
  <si>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</si>
  <si>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</si>
  <si>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</si>
  <si>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</si>
  <si>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</si>
  <si>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</si>
  <si>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</si>
  <si>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</si>
  <si>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</si>
  <si>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</si>
  <si>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</si>
  <si>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</si>
  <si>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</si>
  <si>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</si>
  <si>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</si>
  <si>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</si>
  <si>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</si>
  <si>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</si>
  <si>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</si>
  <si>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</si>
  <si>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</si>
  <si>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</si>
  <si>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</si>
  <si>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</si>
  <si>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</si>
  <si>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</si>
  <si>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</si>
  <si>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</si>
  <si>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</si>
  <si>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</si>
  <si>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</si>
  <si>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</si>
  <si>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</si>
  <si>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</si>
  <si>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</si>
  <si>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</si>
  <si>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</si>
  <si>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</si>
  <si>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</si>
  <si>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</si>
  <si>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</si>
  <si>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</si>
  <si>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</si>
  <si>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</si>
  <si>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</si>
  <si>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</si>
  <si>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</si>
  <si>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</si>
  <si>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</si>
  <si>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</si>
  <si>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</si>
  <si>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</si>
  <si>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</si>
  <si>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</si>
  <si>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</si>
  <si>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</si>
  <si>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</si>
  <si>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</si>
  <si>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</si>
  <si>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</si>
  <si>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</si>
  <si>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</si>
  <si>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</si>
  <si>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</si>
  <si>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</si>
  <si>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</si>
  <si>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</si>
  <si>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</si>
  <si>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</si>
  <si>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</si>
  <si>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</si>
  <si>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</si>
  <si>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</si>
  <si>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</si>
  <si>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</si>
  <si>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</si>
  <si>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</si>
  <si>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</si>
  <si>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</si>
  <si>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</si>
  <si>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</si>
  <si>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</si>
  <si>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</si>
  <si>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</si>
  <si>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</si>
  <si>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</si>
  <si>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</si>
  <si>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</si>
  <si>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</si>
  <si>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</si>
  <si>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</si>
  <si>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</si>
  <si>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</si>
  <si>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</si>
  <si>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</si>
  <si>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</si>
  <si>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</si>
  <si>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</si>
  <si>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</si>
  <si>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</si>
  <si>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</si>
  <si>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</si>
  <si>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</si>
  <si>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</si>
  <si>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</si>
  <si>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</si>
  <si>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</si>
  <si>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</si>
  <si>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</si>
  <si>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</si>
  <si>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</si>
  <si>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</si>
  <si>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</si>
  <si>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</si>
  <si>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</si>
  <si>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</si>
  <si>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</si>
  <si>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</si>
  <si>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</si>
  <si>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</si>
  <si>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</si>
  <si>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</si>
  <si>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</si>
  <si>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</si>
  <si>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</si>
  <si>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</si>
  <si>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</si>
  <si>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</si>
  <si>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</si>
  <si>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</si>
  <si>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</si>
  <si>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</si>
  <si>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</si>
  <si>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</si>
  <si>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</si>
  <si>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</si>
  <si>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</si>
  <si>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</si>
  <si>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</si>
  <si>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</si>
  <si>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</si>
  <si>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</si>
  <si>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</si>
  <si>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</si>
  <si>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</si>
  <si>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</si>
  <si>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</si>
  <si>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</si>
  <si>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</si>
  <si>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</si>
  <si>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</si>
  <si>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</si>
  <si>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</si>
  <si>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</si>
  <si>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</si>
  <si>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</si>
  <si>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</si>
  <si>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</si>
  <si>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</si>
  <si>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</si>
  <si>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</si>
  <si>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</si>
  <si>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</si>
  <si>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</si>
  <si>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</si>
  <si>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</si>
  <si>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</si>
  <si>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</si>
  <si>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</si>
  <si>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</si>
  <si>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</si>
  <si>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</si>
  <si>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</si>
  <si>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</si>
  <si>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</si>
  <si>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</si>
  <si>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</si>
  <si>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</si>
  <si>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</si>
  <si>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</si>
  <si>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</si>
  <si>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</si>
  <si>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</si>
  <si>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</si>
  <si>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</si>
  <si>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</si>
  <si>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</si>
  <si>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</si>
  <si>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</si>
  <si>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</si>
  <si>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</si>
  <si>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</si>
  <si>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</si>
  <si>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</si>
  <si>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</si>
  <si>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</si>
  <si>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</si>
  <si>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</si>
  <si>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</si>
  <si>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</si>
  <si>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</si>
  <si>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</si>
  <si>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</si>
  <si>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</si>
  <si>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</si>
  <si>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</si>
  <si>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</si>
  <si>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</si>
  <si>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</si>
  <si>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</si>
  <si>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</si>
  <si>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</si>
  <si>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</si>
  <si>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</si>
  <si>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</si>
  <si>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</si>
  <si>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</si>
  <si>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</si>
  <si>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</si>
  <si>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</si>
  <si>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</si>
  <si>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</si>
  <si>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</si>
  <si>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</si>
  <si>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</si>
  <si>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</si>
  <si>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</si>
  <si>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</si>
  <si>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</si>
  <si>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</si>
  <si>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</si>
  <si>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</si>
  <si>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</si>
  <si>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</si>
  <si>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</si>
  <si>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</si>
  <si>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</si>
  <si>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</si>
  <si>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</si>
  <si>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</si>
  <si>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</si>
  <si>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</si>
  <si>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</si>
  <si>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</si>
  <si>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</si>
  <si>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</si>
  <si>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</si>
  <si>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</si>
  <si>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</si>
  <si>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</si>
  <si>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</si>
  <si>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</si>
  <si>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</si>
  <si>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</si>
  <si>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</si>
  <si>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</si>
  <si>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</si>
  <si>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</si>
  <si>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</si>
  <si>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</si>
  <si>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</si>
  <si>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</si>
  <si>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</si>
  <si>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</si>
  <si>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</si>
  <si>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</si>
  <si>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</si>
  <si>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</si>
  <si>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</si>
  <si>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</si>
  <si>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</si>
  <si>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</si>
  <si>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</si>
  <si>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</si>
  <si>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</si>
  <si>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</si>
  <si>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</si>
  <si>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</si>
  <si>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</si>
  <si>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</si>
  <si>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</si>
  <si>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</si>
  <si>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</si>
  <si>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</si>
  <si>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</si>
  <si>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</si>
  <si>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</si>
  <si>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</si>
  <si>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</si>
  <si>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</si>
  <si>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</si>
  <si>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</si>
  <si>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</si>
  <si>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</si>
  <si>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</si>
  <si>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</si>
  <si>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</si>
  <si>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</si>
  <si>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</si>
  <si>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</si>
  <si>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</si>
  <si>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</si>
  <si>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</si>
  <si>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</si>
  <si>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</si>
  <si>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</si>
  <si>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</si>
  <si>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</si>
  <si>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</si>
  <si>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</si>
  <si>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</si>
  <si>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</si>
  <si>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</si>
  <si>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</si>
  <si>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</si>
  <si>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</si>
  <si>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</si>
  <si>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</si>
  <si>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</si>
  <si>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</si>
  <si>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</si>
  <si>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</si>
  <si>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</si>
  <si>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</si>
  <si>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</si>
  <si>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</si>
  <si>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</si>
  <si>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</si>
  <si>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</si>
  <si>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</si>
  <si>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</si>
  <si>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</si>
  <si>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</si>
  <si>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</si>
  <si>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</si>
  <si>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</si>
  <si>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</si>
  <si>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</si>
  <si>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</si>
  <si>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</si>
  <si>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</si>
  <si>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</si>
  <si>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</si>
  <si>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</si>
  <si>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</si>
  <si>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</si>
  <si>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</si>
  <si>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</si>
  <si>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</si>
  <si>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</si>
  <si>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</si>
  <si>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</si>
  <si>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</si>
  <si>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</si>
  <si>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</si>
  <si>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</si>
  <si>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</si>
  <si>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</si>
  <si>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</si>
  <si>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</si>
  <si>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</si>
  <si>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</si>
  <si>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</si>
  <si>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</si>
  <si>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</si>
  <si>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</si>
  <si>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</si>
  <si>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</si>
  <si>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</si>
  <si>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</si>
  <si>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</si>
  <si>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</si>
  <si>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</si>
  <si>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</si>
  <si>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</si>
  <si>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</si>
  <si>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</si>
  <si>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</si>
  <si>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</si>
  <si>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</si>
  <si>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</si>
  <si>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</si>
  <si>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</si>
  <si>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</si>
  <si>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</si>
  <si>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</si>
  <si>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</si>
  <si>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</si>
  <si>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</si>
  <si>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</si>
  <si>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</si>
  <si>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</si>
  <si>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</si>
  <si>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</si>
  <si>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</si>
  <si>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</si>
  <si>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</si>
  <si>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</si>
  <si>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</si>
  <si>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</si>
  <si>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</si>
  <si>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</si>
  <si>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</si>
  <si>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</si>
  <si>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</si>
  <si>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</si>
  <si>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</si>
  <si>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</si>
  <si>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</si>
  <si>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</si>
  <si>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</si>
  <si>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</si>
  <si>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</si>
  <si>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</si>
  <si>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</si>
  <si>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</si>
  <si>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</si>
  <si>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</si>
  <si>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</si>
  <si>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</si>
  <si>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</si>
  <si>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</si>
  <si>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</si>
  <si>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</si>
  <si>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</si>
  <si>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</si>
  <si>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</si>
  <si>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</si>
  <si>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</si>
  <si>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</si>
  <si>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</si>
  <si>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</si>
  <si>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</si>
  <si>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</si>
  <si>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</si>
  <si>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</si>
  <si>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</si>
  <si>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</si>
  <si>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</si>
  <si>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</si>
  <si>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</si>
  <si>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</si>
  <si>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</si>
  <si>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</si>
  <si>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</si>
  <si>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</si>
  <si>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</si>
  <si>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</si>
  <si>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</si>
  <si>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</si>
  <si>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</si>
  <si>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</si>
  <si>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</si>
  <si>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</si>
  <si>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</si>
  <si>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</si>
  <si>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</si>
  <si>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</si>
  <si>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</si>
  <si>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</si>
  <si>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</si>
  <si>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</si>
  <si>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</si>
  <si>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</si>
  <si>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</si>
  <si>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</si>
  <si>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</si>
  <si>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</si>
  <si>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</si>
  <si>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</si>
  <si>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</si>
  <si>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</si>
  <si>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</si>
  <si>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</si>
  <si>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</si>
  <si>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</si>
  <si>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</si>
  <si>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</si>
  <si>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</si>
  <si>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</si>
  <si>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</si>
  <si>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</si>
  <si>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</si>
  <si>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</si>
  <si>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</si>
  <si>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</si>
  <si>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</si>
  <si>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</si>
  <si>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</si>
  <si>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</si>
  <si>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</si>
  <si>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</si>
  <si>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</si>
  <si>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</si>
  <si>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</si>
  <si>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</si>
  <si>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</si>
  <si>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</si>
  <si>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</si>
  <si>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</si>
  <si>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</si>
  <si>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</si>
  <si>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</si>
  <si>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</si>
  <si>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</si>
  <si>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</si>
  <si>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</si>
  <si>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</si>
  <si>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</si>
  <si>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</si>
  <si>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</si>
  <si>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</si>
  <si>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</si>
  <si>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</si>
  <si>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</si>
  <si>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</si>
  <si>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</si>
  <si>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</si>
  <si>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</si>
  <si>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</si>
  <si>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</si>
  <si>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</si>
  <si>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</si>
  <si>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</si>
  <si>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</si>
  <si>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</si>
  <si>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</si>
  <si>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</si>
  <si>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</si>
  <si>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</si>
  <si>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</si>
  <si>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</si>
  <si>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</si>
  <si>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</si>
  <si>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</si>
  <si>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</si>
  <si>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</si>
  <si>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</si>
  <si>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</si>
  <si>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</si>
  <si>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</si>
  <si>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</si>
  <si>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</si>
  <si>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</si>
  <si>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</si>
  <si>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</si>
  <si>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</si>
  <si>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</si>
  <si>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</si>
  <si>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</si>
  <si>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</si>
  <si>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</si>
  <si>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</si>
  <si>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</si>
  <si>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</si>
  <si>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</si>
  <si>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</si>
  <si>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</si>
  <si>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</si>
  <si>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</si>
  <si>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</si>
  <si>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</si>
  <si>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</si>
  <si>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</si>
  <si>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</si>
  <si>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</si>
  <si>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</si>
  <si>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</si>
  <si>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</si>
  <si>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</si>
  <si>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</si>
  <si>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</si>
  <si>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</si>
  <si>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</si>
  <si>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</si>
  <si>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</si>
  <si>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</si>
  <si>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</si>
  <si>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</si>
  <si>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</si>
  <si>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</si>
  <si>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</si>
  <si>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</si>
  <si>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</si>
  <si>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</si>
  <si>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</si>
  <si>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</si>
  <si>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</si>
  <si>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</si>
  <si>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</si>
  <si>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</si>
  <si>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</si>
  <si>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</si>
  <si>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</si>
  <si>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</si>
  <si>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</si>
  <si>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</si>
  <si>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</si>
  <si>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</si>
  <si>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</si>
  <si>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</si>
  <si>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</si>
  <si>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</si>
  <si>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</si>
  <si>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</si>
  <si>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</si>
  <si>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</si>
  <si>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</si>
  <si>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</si>
  <si>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</si>
  <si>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</si>
  <si>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</si>
  <si>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</si>
  <si>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</si>
  <si>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</si>
  <si>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</si>
  <si>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</si>
  <si>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</si>
  <si>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</si>
  <si>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</si>
  <si>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</si>
  <si>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</si>
  <si>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</si>
  <si>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</si>
  <si>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</si>
  <si>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</si>
  <si>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</si>
  <si>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</si>
  <si>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</si>
  <si>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</si>
  <si>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</si>
  <si>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</si>
  <si>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</si>
  <si>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</si>
  <si>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</si>
  <si>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</si>
  <si>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</si>
  <si>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</si>
  <si>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</si>
  <si>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</si>
  <si>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</si>
  <si>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</si>
  <si>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</si>
  <si>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</si>
  <si>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</si>
  <si>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</si>
  <si>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</si>
  <si>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</si>
  <si>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</si>
  <si>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</si>
  <si>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</si>
  <si>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</si>
  <si>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</si>
  <si>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</si>
  <si>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</si>
  <si>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</si>
  <si>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</si>
  <si>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</si>
  <si>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</si>
  <si>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</si>
  <si>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</si>
  <si>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</si>
  <si>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</si>
  <si>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</si>
  <si>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</si>
  <si>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</si>
  <si>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</si>
  <si>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</si>
  <si>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</si>
  <si>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</si>
  <si>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</si>
  <si>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</si>
  <si>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</si>
  <si>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</si>
  <si>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</si>
  <si>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</si>
  <si>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</si>
  <si>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</si>
  <si>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</si>
  <si>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</si>
  <si>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</si>
  <si>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</si>
  <si>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</si>
  <si>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</si>
  <si>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</si>
  <si>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</si>
  <si>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</si>
  <si>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</si>
  <si>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</si>
  <si>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</si>
  <si>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</si>
  <si>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</si>
  <si>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</si>
  <si>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</si>
  <si>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</si>
  <si>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</si>
  <si>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</si>
  <si>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</si>
  <si>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</si>
  <si>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</si>
  <si>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</si>
  <si>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</si>
  <si>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</si>
  <si>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</si>
  <si>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</si>
  <si>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</si>
  <si>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</si>
  <si>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</si>
  <si>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</si>
  <si>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</si>
  <si>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</si>
  <si>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</si>
  <si>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</si>
  <si>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</si>
  <si>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</si>
  <si>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</si>
  <si>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</si>
  <si>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</si>
  <si>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</si>
  <si>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</si>
  <si>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</si>
  <si>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</si>
  <si>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</si>
  <si>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</si>
  <si>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</si>
  <si>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</si>
  <si>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</si>
  <si>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</si>
  <si>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</si>
  <si>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</si>
  <si>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</si>
  <si>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</si>
  <si>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</si>
  <si>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</si>
  <si>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</si>
  <si>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</si>
  <si>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</si>
  <si>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</si>
  <si>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</si>
  <si>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</si>
  <si>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</si>
  <si>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</si>
  <si>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</si>
  <si>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</si>
  <si>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</si>
  <si>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</si>
  <si>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</si>
  <si>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</si>
  <si>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</si>
  <si>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</si>
  <si>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</si>
  <si>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</si>
  <si>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</si>
  <si>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</si>
  <si>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</si>
  <si>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</si>
  <si>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</si>
  <si>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</si>
  <si>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</si>
  <si>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</si>
  <si>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</si>
  <si>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</si>
  <si>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</si>
  <si>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</si>
  <si>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</si>
  <si>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</si>
  <si>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</si>
  <si>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</si>
  <si>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</si>
  <si>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</si>
  <si>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</si>
  <si>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</si>
  <si>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</si>
  <si>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</si>
  <si>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</si>
  <si>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</si>
  <si>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</si>
  <si>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</si>
  <si>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</si>
  <si>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</si>
  <si>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</si>
  <si>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</si>
  <si>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</si>
  <si>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</si>
  <si>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</si>
  <si>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</si>
  <si>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</si>
  <si>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</si>
  <si>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</si>
  <si>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</si>
  <si>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</si>
  <si>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</si>
  <si>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</si>
  <si>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</si>
  <si>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</si>
  <si>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</si>
  <si>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</si>
  <si>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</si>
  <si>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</si>
  <si>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</si>
  <si>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</si>
  <si>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</si>
  <si>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</si>
  <si>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</si>
  <si>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</si>
  <si>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</si>
  <si>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</si>
  <si>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</si>
  <si>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</si>
  <si>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</si>
  <si>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</si>
  <si>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</si>
  <si>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</si>
  <si>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</si>
  <si>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</si>
  <si>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</si>
  <si>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</si>
  <si>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</si>
  <si>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</si>
  <si>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</si>
  <si>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</si>
  <si>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</si>
  <si>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</si>
  <si>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</si>
  <si>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</si>
  <si>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</si>
  <si>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</si>
  <si>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</si>
  <si>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</si>
  <si>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</si>
  <si>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</si>
  <si>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</si>
  <si>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</si>
  <si>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</si>
  <si>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</si>
  <si>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</si>
  <si>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</si>
  <si>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</si>
  <si>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</si>
  <si>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</si>
  <si>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</si>
  <si>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</si>
  <si>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</si>
  <si>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</si>
  <si>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</si>
  <si>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</si>
  <si>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</si>
  <si>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</si>
  <si>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</si>
  <si>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</si>
  <si>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</si>
  <si>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</si>
  <si>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</si>
  <si>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</si>
  <si>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</si>
  <si>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</si>
  <si>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</si>
  <si>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</si>
  <si>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</si>
  <si>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</si>
  <si>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</si>
  <si>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</si>
  <si>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</si>
  <si>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</si>
  <si>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</si>
  <si>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</si>
  <si>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</si>
  <si>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</si>
  <si>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</si>
  <si>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</si>
  <si>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</si>
  <si>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</si>
  <si>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</si>
  <si>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</si>
  <si>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</si>
  <si>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</si>
  <si>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</si>
  <si>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</si>
  <si>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</si>
  <si>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</si>
  <si>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</si>
  <si>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</si>
  <si>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</si>
  <si>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</si>
  <si>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</si>
  <si>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</si>
  <si>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</si>
  <si>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</si>
  <si>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</si>
  <si>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</si>
  <si>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</si>
  <si>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</si>
  <si>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</si>
  <si>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</si>
  <si>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</si>
  <si>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</si>
  <si>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</si>
  <si>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</si>
  <si>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</si>
  <si>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</si>
  <si>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</si>
  <si>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</si>
  <si>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</si>
  <si>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</si>
  <si>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</si>
  <si>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</si>
  <si>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</si>
  <si>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</si>
  <si>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</si>
  <si>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</si>
  <si>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</si>
  <si>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</si>
  <si>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</si>
  <si>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</si>
  <si>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</si>
  <si>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</si>
  <si>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</si>
  <si>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</si>
  <si>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</si>
  <si>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</si>
  <si>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</si>
  <si>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</si>
  <si>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</si>
  <si>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</si>
  <si>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</si>
  <si>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</si>
  <si>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</si>
  <si>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</si>
  <si>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</si>
  <si>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</si>
  <si>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</si>
  <si>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</si>
  <si>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</si>
  <si>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</si>
  <si>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</si>
  <si>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</si>
  <si>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</si>
  <si>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</si>
  <si>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</si>
  <si>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</si>
  <si>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</si>
  <si>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</si>
  <si>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</si>
  <si>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</si>
  <si>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</si>
  <si>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</si>
  <si>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</si>
  <si>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</si>
  <si>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</si>
  <si>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</si>
  <si>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</si>
  <si>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</si>
  <si>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</si>
  <si>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</si>
  <si>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</si>
  <si>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</si>
  <si>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</si>
  <si>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</si>
  <si>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</si>
  <si>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</si>
  <si>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</si>
  <si>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</si>
  <si>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</si>
  <si>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</si>
  <si>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</si>
  <si>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</si>
  <si>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</si>
  <si>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</si>
  <si>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</si>
  <si>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</si>
  <si>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</si>
  <si>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</si>
  <si>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</si>
  <si>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</si>
  <si>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</si>
  <si>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</si>
  <si>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</si>
  <si>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</si>
  <si>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</si>
  <si>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</si>
  <si>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</si>
  <si>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</si>
  <si>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</si>
  <si>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</si>
  <si>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</si>
  <si>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</si>
  <si>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</si>
  <si>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</si>
  <si>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</si>
  <si>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</si>
  <si>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</si>
  <si>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</si>
  <si>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</si>
  <si>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</si>
  <si>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</si>
  <si>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</si>
  <si>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</si>
  <si>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</si>
  <si>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</si>
  <si>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</si>
  <si>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</si>
  <si>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</si>
  <si>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</si>
  <si>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</si>
  <si>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</si>
  <si>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</si>
  <si>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</si>
  <si>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</si>
  <si>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</si>
  <si>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</si>
  <si>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</si>
  <si>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</si>
  <si>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</si>
  <si>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</si>
  <si>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</si>
  <si>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</si>
  <si>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</si>
  <si>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</si>
  <si>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</si>
  <si>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</si>
  <si>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</si>
  <si>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</si>
  <si>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</si>
  <si>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</si>
  <si>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</si>
  <si>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</si>
  <si>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</si>
  <si>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</si>
  <si>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</si>
  <si>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</si>
  <si>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</si>
  <si>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</si>
  <si>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</si>
  <si>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</si>
  <si>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</si>
  <si>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</si>
  <si>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</si>
  <si>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</si>
  <si>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</si>
  <si>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</si>
  <si>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</si>
  <si>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</si>
  <si>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</si>
  <si>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</si>
  <si>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</si>
  <si>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</si>
  <si>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</si>
  <si>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</si>
  <si>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</si>
  <si>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</si>
  <si>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</si>
  <si>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</si>
  <si>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</si>
  <si>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</si>
  <si>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</si>
  <si>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</si>
  <si>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</si>
  <si>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</si>
  <si>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</si>
  <si>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</si>
  <si>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</si>
  <si>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</si>
  <si>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</si>
  <si>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</si>
  <si>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</si>
  <si>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</si>
  <si>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</si>
  <si>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</si>
  <si>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</si>
  <si>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</si>
  <si>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</si>
  <si>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</si>
  <si>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</si>
  <si>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</si>
  <si>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</si>
  <si>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</si>
  <si>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</si>
  <si>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</si>
  <si>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</si>
  <si>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</si>
  <si>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</si>
  <si>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</si>
  <si>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</si>
  <si>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</si>
  <si>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</si>
  <si>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</si>
  <si>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</si>
  <si>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</si>
  <si>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</si>
  <si>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</si>
  <si>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</si>
  <si>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</si>
  <si>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</si>
  <si>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</si>
  <si>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</si>
  <si>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</si>
  <si>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</si>
  <si>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</si>
  <si>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</si>
  <si>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</si>
  <si>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</si>
  <si>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</si>
  <si>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</si>
  <si>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</si>
  <si>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</si>
  <si>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</si>
  <si>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</si>
  <si>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</si>
  <si>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</si>
  <si>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</si>
  <si>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</si>
  <si>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</si>
  <si>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</si>
  <si>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</si>
  <si>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</si>
  <si>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</si>
  <si>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</si>
  <si>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</si>
  <si>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</si>
  <si>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</si>
  <si>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</si>
  <si>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</si>
  <si>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</si>
  <si>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</si>
  <si>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</si>
  <si>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</si>
  <si>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</si>
  <si>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</si>
  <si>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</si>
  <si>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</si>
  <si>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</si>
  <si>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</si>
  <si>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</si>
  <si>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</si>
  <si>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</si>
  <si>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</si>
  <si>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</si>
  <si>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</si>
  <si>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</si>
  <si>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</si>
  <si>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</si>
  <si>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</si>
  <si>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</si>
  <si>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</si>
  <si>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</si>
  <si>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</si>
  <si>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</si>
  <si>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</si>
  <si>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</si>
  <si>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</si>
  <si>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</si>
  <si>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</si>
  <si>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</si>
  <si>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</si>
  <si>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</si>
  <si>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</si>
  <si>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</si>
  <si>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</si>
  <si>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</si>
  <si>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</si>
  <si>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</si>
  <si>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</si>
  <si>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</si>
  <si>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</si>
  <si>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</si>
  <si>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</si>
  <si>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</si>
  <si>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</si>
  <si>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</si>
  <si>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</si>
  <si>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</si>
  <si>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</si>
  <si>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</si>
  <si>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</si>
  <si>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</si>
  <si>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</si>
  <si>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</si>
  <si>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</si>
  <si>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</si>
  <si>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</si>
  <si>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</si>
  <si>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</si>
  <si>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</si>
  <si>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</si>
  <si>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</si>
  <si>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</si>
  <si>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</si>
  <si>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</si>
  <si>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</si>
  <si>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</si>
  <si>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</si>
  <si>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</si>
  <si>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</si>
  <si>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</si>
  <si>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</si>
  <si>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</si>
  <si>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</si>
  <si>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</si>
  <si>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</si>
  <si>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</si>
  <si>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</si>
  <si>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</si>
  <si>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</si>
  <si>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</si>
  <si>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</si>
  <si>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</si>
  <si>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</si>
  <si>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</si>
  <si>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</si>
  <si>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</si>
  <si>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</si>
  <si>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</si>
  <si>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</si>
  <si>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</si>
  <si>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</si>
  <si>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</si>
  <si>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</si>
  <si>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</si>
  <si>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</si>
  <si>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</si>
  <si>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</si>
  <si>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</si>
  <si>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</si>
  <si>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</si>
  <si>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</si>
  <si>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</si>
  <si>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</si>
  <si>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</si>
  <si>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</si>
  <si>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</si>
  <si>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</si>
  <si>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</si>
  <si>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</si>
  <si>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</si>
  <si>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</si>
  <si>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</si>
  <si>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</si>
  <si>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</si>
  <si>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</si>
  <si>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</si>
  <si>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</si>
  <si>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</si>
  <si>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</si>
  <si>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</si>
  <si>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</si>
  <si>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</si>
  <si>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</si>
  <si>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</si>
  <si>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</si>
  <si>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</si>
  <si>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</si>
  <si>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</si>
  <si>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</si>
  <si>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</si>
  <si>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</si>
  <si>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</si>
  <si>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</si>
  <si>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</si>
  <si>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</si>
  <si>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</si>
  <si>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</si>
  <si>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</si>
  <si>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</si>
  <si>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</si>
  <si>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</si>
  <si>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</si>
  <si>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</si>
  <si>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</si>
  <si>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</si>
  <si>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</si>
  <si>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</si>
  <si>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</si>
  <si>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</si>
  <si>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</si>
  <si>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</si>
  <si>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</si>
  <si>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</si>
  <si>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</si>
  <si>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</si>
  <si>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</si>
  <si>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</si>
  <si>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</si>
  <si>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</si>
  <si>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</si>
  <si>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</si>
  <si>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</si>
  <si>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</si>
  <si>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</si>
  <si>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</si>
  <si>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</si>
  <si>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</si>
  <si>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</si>
  <si>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</si>
  <si>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</si>
  <si>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</si>
  <si>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</si>
  <si>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</si>
  <si>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</si>
  <si>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</si>
  <si>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</si>
  <si>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</si>
  <si>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</si>
  <si>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</si>
  <si>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</si>
  <si>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</si>
  <si>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</si>
  <si>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</si>
  <si>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</si>
  <si>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</si>
  <si>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</si>
  <si>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</si>
  <si>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</si>
  <si>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</si>
  <si>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</si>
  <si>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</si>
  <si>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</si>
  <si>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</si>
  <si>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</si>
  <si>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</si>
  <si>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</si>
  <si>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</si>
  <si>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</si>
  <si>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</si>
  <si>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</si>
  <si>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</si>
  <si>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</si>
  <si>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</si>
  <si>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</si>
  <si>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</si>
  <si>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</si>
  <si>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</si>
  <si>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</si>
  <si>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</si>
  <si>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</si>
  <si>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</si>
  <si>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</si>
  <si>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</si>
  <si>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</si>
  <si>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</si>
  <si>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</si>
  <si>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</si>
  <si>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</si>
  <si>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</si>
  <si>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</si>
  <si>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</si>
  <si>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</si>
  <si>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</si>
  <si>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</si>
  <si>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</si>
  <si>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</si>
  <si>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</si>
  <si>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</si>
  <si>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</si>
  <si>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</si>
  <si>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</si>
  <si>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</si>
  <si>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</si>
  <si>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</si>
  <si>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</si>
  <si>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</si>
  <si>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</si>
  <si>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</si>
  <si>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</si>
  <si>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</si>
  <si>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</si>
  <si>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</si>
  <si>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</si>
  <si>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</si>
  <si>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</si>
  <si>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</si>
  <si>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</si>
  <si>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</si>
  <si>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</si>
  <si>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</si>
  <si>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</si>
  <si>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</si>
  <si>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</si>
  <si>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</si>
  <si>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</si>
  <si>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</si>
  <si>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</si>
  <si>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</si>
  <si>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</si>
  <si>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</si>
  <si>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</si>
  <si>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</si>
  <si>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</si>
  <si>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</si>
  <si>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</si>
  <si>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</si>
  <si>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</si>
  <si>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</si>
  <si>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</si>
  <si>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</si>
  <si>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</si>
  <si>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</si>
  <si>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</si>
  <si>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</si>
  <si>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</si>
  <si>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</si>
  <si>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</si>
  <si>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</si>
  <si>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</si>
  <si>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</si>
  <si>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</si>
  <si>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</si>
  <si>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</si>
  <si>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</si>
  <si>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</si>
  <si>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</si>
  <si>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</si>
  <si>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</si>
  <si>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</si>
  <si>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</si>
  <si>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</si>
  <si>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</si>
  <si>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</si>
  <si>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</si>
  <si>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</si>
  <si>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</si>
  <si>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</si>
  <si>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</si>
  <si>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</si>
  <si>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</si>
  <si>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</si>
  <si>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</si>
  <si>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</si>
  <si>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</si>
  <si>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</si>
  <si>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</si>
  <si>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</si>
  <si>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</si>
  <si>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</si>
  <si>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</si>
  <si>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</si>
  <si>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</si>
  <si>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</si>
  <si>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</si>
  <si>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</si>
  <si>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</si>
  <si>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</si>
  <si>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</si>
  <si>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</si>
  <si>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</si>
  <si>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</si>
  <si>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</si>
  <si>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</si>
  <si>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</si>
  <si>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</si>
  <si>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</si>
  <si>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</si>
  <si>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</si>
  <si>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</si>
  <si>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</si>
  <si>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</si>
  <si>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</si>
  <si>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</si>
  <si>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</si>
  <si>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</si>
  <si>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</si>
  <si>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</si>
  <si>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</si>
  <si>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</si>
  <si>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</si>
  <si>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</si>
  <si>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</si>
  <si>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</si>
  <si>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</si>
  <si>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</si>
  <si>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</si>
  <si>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</si>
  <si>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</si>
  <si>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</si>
  <si>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</si>
  <si>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</si>
  <si>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</si>
  <si>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</si>
  <si>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</si>
  <si>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</si>
  <si>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</si>
  <si>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</si>
  <si>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</si>
  <si>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</si>
  <si>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</si>
  <si>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</si>
  <si>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</si>
  <si>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</si>
  <si>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</si>
  <si>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</si>
  <si>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</si>
  <si>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</si>
  <si>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</si>
  <si>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</si>
  <si>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</si>
  <si>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</si>
  <si>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</si>
  <si>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</si>
  <si>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</si>
  <si>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</si>
  <si>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</si>
  <si>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</si>
  <si>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</si>
  <si>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</si>
  <si>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</si>
  <si>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</si>
  <si>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</si>
  <si>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</si>
  <si>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</si>
  <si>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</si>
  <si>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</si>
  <si>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</si>
  <si>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</si>
  <si>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</si>
  <si>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</si>
  <si>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</si>
  <si>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</si>
  <si>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</si>
  <si>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</si>
  <si>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</si>
  <si>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</si>
  <si>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</si>
  <si>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</si>
  <si>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</si>
  <si>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</si>
  <si>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</si>
  <si>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</si>
  <si>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</si>
  <si>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</si>
  <si>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</si>
  <si>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</si>
  <si>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</si>
  <si>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</si>
  <si>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</si>
  <si>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</si>
  <si>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</si>
  <si>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</si>
  <si>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</si>
  <si>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</si>
  <si>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</si>
  <si>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</si>
  <si>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</si>
  <si>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</si>
  <si>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</si>
  <si>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</si>
  <si>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</si>
  <si>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</si>
  <si>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</si>
  <si>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</si>
  <si>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</si>
  <si>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</si>
  <si>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</si>
  <si>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</si>
  <si>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</si>
  <si>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</si>
  <si>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</si>
  <si>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</si>
  <si>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</si>
  <si>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</si>
  <si>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</si>
  <si>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</si>
  <si>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</si>
  <si>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</si>
  <si>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</si>
  <si>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</si>
  <si>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</si>
  <si>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</si>
  <si>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</si>
  <si>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</si>
  <si>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</si>
  <si>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</si>
  <si>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</si>
  <si>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</si>
  <si>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</si>
  <si>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</si>
  <si>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</si>
  <si>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</si>
  <si>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</si>
  <si>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</si>
  <si>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</si>
  <si>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</si>
  <si>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</si>
  <si>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</si>
  <si>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</si>
  <si>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</si>
  <si>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</si>
  <si>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</si>
  <si>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</si>
  <si>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</si>
  <si>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</si>
  <si>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</si>
  <si>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</si>
  <si>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</si>
  <si>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</si>
  <si>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</si>
  <si>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</si>
  <si>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</si>
  <si>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</si>
  <si>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</si>
  <si>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</si>
  <si>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</si>
  <si>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</si>
  <si>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</si>
  <si>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</si>
  <si>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</si>
  <si>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</si>
  <si>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</si>
  <si>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</si>
  <si>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</si>
  <si>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</si>
  <si>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</si>
  <si>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</si>
  <si>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</si>
  <si>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</si>
  <si>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</si>
  <si>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</si>
  <si>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</si>
  <si>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</si>
  <si>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</si>
  <si>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</si>
  <si>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</si>
  <si>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</si>
  <si>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</si>
  <si>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</si>
  <si>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</si>
  <si>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</si>
  <si>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</si>
  <si>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</si>
  <si>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</si>
  <si>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</si>
  <si>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</si>
  <si>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</si>
  <si>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</si>
  <si>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</si>
  <si>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</si>
  <si>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</si>
  <si>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</si>
  <si>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</si>
  <si>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</si>
  <si>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</si>
  <si>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</si>
  <si>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</si>
  <si>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</si>
  <si>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</si>
  <si>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</si>
  <si>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</si>
  <si>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</si>
  <si>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</si>
  <si>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</si>
  <si>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</si>
  <si>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</si>
  <si>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</si>
  <si>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</si>
  <si>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</si>
  <si>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</si>
  <si>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</si>
  <si>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</si>
  <si>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</si>
  <si>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</si>
  <si>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</si>
  <si>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</si>
  <si>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</si>
  <si>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</si>
  <si>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</si>
  <si>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</si>
  <si>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</si>
  <si>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</si>
  <si>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</si>
  <si>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</si>
  <si>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</si>
  <si>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</si>
  <si>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</si>
  <si>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</si>
  <si>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</si>
  <si>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</si>
  <si>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</si>
  <si>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</si>
  <si>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</si>
  <si>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</si>
  <si>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</si>
  <si>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</si>
  <si>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</si>
  <si>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</si>
  <si>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</si>
  <si>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</si>
  <si>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</si>
  <si>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</si>
  <si>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</si>
  <si>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</si>
  <si>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</si>
  <si>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</si>
  <si>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</si>
  <si>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</si>
  <si>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</si>
  <si>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</si>
  <si>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</si>
  <si>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</si>
  <si>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</si>
  <si>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</si>
  <si>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</si>
  <si>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</si>
  <si>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</si>
  <si>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</si>
  <si>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</si>
  <si>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</si>
  <si>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</si>
  <si>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</si>
  <si>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</si>
  <si>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</si>
  <si>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</si>
  <si>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</si>
  <si>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</si>
  <si>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</si>
  <si>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</si>
  <si>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</si>
  <si>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</si>
  <si>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</si>
  <si>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</si>
  <si>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</si>
  <si>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</si>
  <si>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</si>
  <si>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</si>
  <si>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</si>
  <si>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</si>
  <si>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</si>
  <si>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</si>
  <si>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</si>
  <si>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</si>
  <si>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</si>
  <si>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</si>
  <si>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</si>
  <si>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</si>
  <si>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</si>
  <si>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</si>
  <si>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</si>
  <si>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</si>
  <si>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</si>
  <si>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</si>
  <si>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</si>
  <si>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</si>
  <si>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</si>
  <si>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</si>
  <si>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</si>
  <si>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</si>
  <si>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</si>
  <si>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</si>
  <si>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</si>
  <si>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</si>
  <si>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</si>
  <si>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</si>
  <si>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</si>
  <si>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</si>
  <si>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</si>
  <si>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</si>
  <si>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</si>
  <si>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</si>
  <si>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</si>
  <si>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</si>
  <si>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</si>
  <si>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</si>
  <si>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</si>
  <si>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</si>
  <si>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</si>
  <si>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</si>
  <si>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</si>
  <si>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</si>
  <si>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</si>
  <si>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</si>
  <si>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</si>
  <si>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</si>
  <si>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</si>
  <si>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</si>
  <si>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</si>
  <si>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</si>
  <si>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</si>
  <si>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</si>
  <si>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</si>
  <si>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</si>
  <si>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</si>
  <si>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</si>
  <si>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</si>
  <si>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</si>
  <si>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</si>
  <si>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</si>
  <si>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</si>
  <si>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</si>
  <si>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</si>
  <si>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</si>
  <si>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</si>
  <si>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</si>
  <si>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</si>
  <si>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</si>
  <si>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</si>
  <si>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</si>
  <si>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</si>
  <si>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</si>
  <si>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</si>
  <si>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</si>
  <si>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</si>
  <si>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</si>
  <si>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</si>
  <si>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</si>
  <si>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</si>
  <si>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</si>
  <si>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</si>
  <si>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</si>
  <si>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</si>
  <si>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</si>
  <si>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</si>
  <si>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</si>
  <si>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</si>
  <si>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</si>
  <si>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</si>
  <si>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</si>
  <si>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</si>
  <si>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</si>
  <si>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</si>
  <si>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</si>
  <si>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</si>
  <si>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</si>
  <si>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</si>
  <si>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</si>
  <si>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</si>
  <si>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</si>
  <si>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</si>
  <si>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</si>
  <si>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</si>
  <si>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</si>
  <si>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</si>
  <si>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</si>
  <si>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</si>
  <si>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</si>
  <si>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</si>
  <si>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</si>
  <si>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</si>
  <si>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</si>
  <si>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</si>
  <si>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</si>
  <si>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</si>
  <si>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</si>
  <si>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</si>
  <si>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</si>
  <si>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</si>
  <si>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</si>
  <si>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</si>
  <si>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</si>
  <si>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</si>
  <si>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</si>
  <si>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</si>
  <si>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</si>
  <si>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</si>
  <si>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</si>
  <si>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</si>
  <si>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</si>
  <si>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</si>
  <si>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</si>
  <si>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</si>
  <si>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</si>
  <si>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</si>
  <si>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</si>
  <si>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</si>
  <si>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</si>
  <si>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</si>
  <si>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</si>
  <si>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</si>
  <si>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</si>
  <si>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</si>
  <si>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</si>
  <si>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</si>
  <si>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</si>
  <si>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</si>
  <si>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</si>
  <si>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</si>
  <si>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</si>
  <si>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</si>
  <si>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</si>
  <si>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</si>
  <si>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</si>
  <si>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</si>
  <si>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</si>
  <si>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</si>
  <si>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</si>
  <si>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</si>
  <si>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</si>
  <si>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</si>
  <si>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</si>
  <si>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</si>
  <si>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</si>
  <si>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</si>
  <si>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</si>
  <si>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</si>
  <si>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</si>
  <si>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</si>
  <si>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</si>
  <si>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</si>
  <si>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</si>
  <si>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</si>
  <si>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</si>
  <si>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</si>
  <si>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</si>
  <si>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</si>
  <si>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</si>
  <si>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</si>
  <si>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</si>
  <si>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</si>
  <si>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</si>
  <si>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</si>
  <si>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</si>
  <si>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</si>
  <si>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</si>
  <si>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</si>
  <si>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</si>
  <si>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</si>
  <si>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</si>
  <si>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</si>
  <si>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</si>
  <si>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</si>
  <si>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</si>
  <si>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</si>
  <si>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</si>
  <si>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</si>
  <si>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</si>
  <si>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</si>
  <si>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</si>
  <si>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</si>
  <si>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</si>
  <si>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</si>
  <si>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</si>
  <si>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</si>
  <si>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</si>
  <si>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</si>
  <si>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</si>
  <si>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</si>
  <si>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</si>
  <si>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</si>
  <si>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</si>
  <si>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</si>
  <si>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</si>
  <si>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</si>
  <si>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</si>
  <si>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</si>
  <si>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</si>
  <si>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</si>
  <si>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</si>
  <si>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</si>
  <si>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</si>
  <si>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</si>
  <si>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</si>
  <si>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</si>
  <si>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</si>
  <si>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</si>
  <si>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</si>
  <si>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</si>
  <si>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</si>
  <si>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</si>
  <si>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</si>
  <si>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</si>
  <si>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</si>
  <si>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</si>
  <si>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</si>
  <si>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</si>
  <si>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</si>
  <si>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</si>
  <si>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</si>
  <si>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</si>
  <si>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</si>
  <si>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</si>
  <si>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</si>
  <si>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</si>
  <si>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</si>
  <si>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</si>
  <si>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</si>
  <si>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</si>
  <si>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</si>
  <si>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</si>
  <si>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</si>
  <si>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</si>
  <si>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</si>
  <si>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</si>
  <si>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</si>
  <si>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</si>
  <si>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</si>
  <si>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</si>
  <si>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</si>
  <si>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</si>
  <si>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</si>
  <si>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</si>
  <si>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</si>
  <si>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</si>
  <si>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</si>
  <si>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</si>
  <si>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</si>
  <si>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</si>
  <si>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</si>
  <si>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</si>
  <si>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</si>
  <si>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</si>
  <si>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</si>
  <si>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</si>
  <si>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</si>
  <si>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</si>
  <si>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</si>
  <si>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</si>
  <si>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</si>
  <si>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</si>
  <si>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</si>
  <si>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</si>
  <si>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</si>
  <si>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</si>
  <si>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</si>
  <si>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</si>
  <si>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</si>
  <si>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</si>
  <si>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</si>
  <si>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</si>
  <si>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</si>
  <si>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</si>
  <si>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</si>
  <si>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</si>
  <si>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</si>
  <si>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</si>
  <si>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</si>
  <si>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</si>
  <si>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</si>
  <si>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</si>
  <si>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</si>
  <si>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</si>
  <si>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</si>
  <si>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</si>
  <si>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</si>
  <si>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</si>
  <si>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</si>
  <si>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</si>
  <si>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</si>
  <si>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</si>
  <si>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</si>
  <si>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</si>
  <si>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</si>
  <si>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</si>
  <si>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</si>
  <si>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</si>
  <si>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</si>
  <si>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</si>
  <si>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</si>
  <si>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</si>
  <si>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</si>
  <si>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</si>
  <si>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</si>
  <si>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</si>
  <si>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</si>
  <si>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</si>
  <si>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</si>
  <si>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</si>
  <si>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</si>
  <si>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</si>
  <si>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</si>
  <si>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</si>
  <si>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</si>
  <si>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</si>
  <si>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</si>
  <si>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</si>
  <si>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</si>
  <si>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</si>
  <si>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</si>
  <si>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</si>
  <si>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</si>
  <si>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</si>
  <si>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</si>
  <si>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</si>
  <si>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</si>
  <si>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</si>
  <si>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</si>
  <si>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</si>
  <si>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</si>
  <si>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</si>
  <si>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</si>
  <si>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</si>
  <si>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</si>
  <si>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</si>
  <si>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</si>
  <si>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</si>
  <si>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</si>
  <si>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</si>
  <si>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</si>
  <si>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</si>
  <si>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</si>
  <si>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</si>
  <si>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</si>
  <si>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</si>
  <si>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</si>
  <si>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</si>
  <si>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</si>
  <si>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</si>
  <si>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</si>
  <si>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</si>
  <si>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</si>
  <si>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</si>
  <si>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</si>
  <si>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</si>
  <si>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</si>
  <si>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</si>
  <si>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</si>
  <si>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</si>
  <si>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</si>
  <si>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</si>
  <si>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</si>
  <si>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</si>
  <si>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</si>
  <si>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</si>
  <si>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</si>
  <si>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</si>
  <si>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</si>
  <si>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</si>
  <si>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</si>
  <si>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</si>
  <si>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</si>
  <si>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</si>
  <si>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</si>
  <si>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</si>
  <si>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</si>
  <si>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</si>
  <si>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</si>
  <si>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</si>
  <si>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</si>
  <si>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</si>
  <si>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</si>
  <si>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</si>
  <si>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</si>
  <si>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</si>
  <si>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</si>
  <si>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</si>
  <si>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</si>
  <si>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</si>
  <si>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</si>
  <si>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</si>
  <si>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</si>
  <si>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</si>
  <si>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</si>
  <si>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</si>
  <si>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</si>
  <si>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</si>
  <si>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</si>
  <si>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</si>
  <si>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</si>
  <si>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</si>
  <si>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</si>
  <si>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</si>
  <si>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</si>
  <si>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</si>
  <si>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</si>
  <si>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</si>
  <si>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</si>
  <si>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</si>
  <si>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</si>
  <si>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</si>
  <si>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</si>
  <si>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</si>
  <si>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</si>
  <si>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</si>
  <si>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</si>
  <si>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</si>
  <si>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</si>
  <si>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</si>
  <si>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</si>
  <si>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</si>
  <si>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</si>
  <si>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</si>
  <si>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</si>
  <si>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</si>
  <si>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</si>
  <si>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</si>
  <si>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</si>
  <si>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</si>
  <si>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</si>
  <si>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</si>
  <si>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</si>
  <si>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</si>
  <si>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</si>
  <si>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</si>
  <si>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</si>
  <si>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</si>
  <si>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</si>
  <si>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</si>
  <si>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</si>
  <si>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</si>
  <si>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</si>
  <si>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</si>
  <si>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</si>
  <si>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</si>
  <si>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</si>
  <si>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</si>
  <si>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</si>
  <si>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</si>
  <si>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</si>
  <si>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</si>
  <si>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</si>
  <si>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</si>
  <si>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</si>
  <si>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</si>
  <si>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</si>
  <si>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</si>
  <si>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</si>
  <si>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</si>
  <si>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</si>
  <si>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</si>
  <si>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</si>
  <si>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</si>
  <si>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</si>
  <si>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</si>
  <si>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</si>
  <si>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</si>
  <si>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</si>
  <si>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</si>
  <si>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</si>
  <si>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</si>
  <si>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</si>
  <si>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</si>
  <si>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</si>
  <si>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</si>
  <si>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</si>
  <si>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</si>
  <si>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</si>
  <si>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</si>
  <si>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</si>
  <si>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</si>
  <si>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</si>
  <si>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</si>
  <si>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</si>
  <si>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</si>
  <si>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</si>
  <si>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</si>
  <si>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</si>
  <si>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</si>
  <si>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</si>
  <si>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</si>
  <si>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</si>
  <si>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</si>
  <si>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</si>
  <si>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</si>
  <si>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</si>
  <si>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</si>
  <si>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</si>
  <si>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</si>
  <si>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</si>
  <si>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</si>
  <si>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</si>
  <si>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</si>
  <si>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</si>
  <si>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</si>
  <si>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</si>
  <si>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</si>
  <si>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</si>
  <si>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</si>
  <si>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</si>
  <si>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</si>
  <si>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</si>
  <si>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</si>
  <si>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</si>
  <si>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</si>
  <si>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</si>
  <si>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</si>
  <si>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</si>
  <si>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</si>
  <si>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</si>
  <si>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</si>
  <si>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</si>
  <si>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</si>
  <si>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</si>
  <si>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</si>
  <si>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</si>
  <si>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</si>
  <si>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</si>
  <si>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</si>
  <si>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</si>
  <si>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</si>
  <si>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</si>
  <si>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</si>
  <si>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</si>
  <si>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</si>
  <si>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</si>
  <si>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</si>
  <si>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</si>
  <si>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</si>
  <si>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</si>
  <si>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</si>
  <si>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</si>
  <si>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</si>
  <si>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</si>
  <si>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</si>
  <si>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</si>
  <si>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</si>
  <si>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</si>
  <si>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</si>
  <si>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</si>
  <si>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</si>
  <si>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</si>
  <si>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</si>
  <si>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</si>
  <si>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</si>
  <si>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</si>
  <si>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</si>
  <si>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</si>
  <si>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</si>
  <si>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</si>
  <si>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</si>
  <si>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</si>
  <si>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</si>
  <si>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</si>
  <si>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</si>
  <si>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</si>
  <si>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</si>
  <si>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</si>
  <si>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</si>
  <si>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</si>
  <si>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</si>
  <si>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</si>
  <si>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</si>
  <si>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</si>
  <si>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</si>
  <si>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</si>
  <si>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</si>
  <si>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</si>
  <si>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</si>
  <si>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</si>
  <si>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</si>
  <si>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</si>
  <si>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</si>
  <si>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</si>
  <si>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</si>
  <si>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</si>
  <si>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</si>
  <si>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</si>
  <si>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</si>
  <si>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</si>
  <si>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</si>
  <si>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</si>
  <si>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</si>
  <si>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</si>
  <si>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</si>
  <si>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</si>
  <si>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</si>
  <si>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</si>
  <si>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</si>
  <si>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</si>
  <si>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</si>
  <si>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</si>
  <si>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</si>
  <si>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</si>
  <si>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</si>
  <si>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</si>
  <si>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</si>
  <si>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</si>
  <si>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</si>
  <si>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</si>
  <si>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</si>
  <si>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</si>
  <si>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</si>
  <si>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</si>
  <si>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</si>
  <si>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</si>
  <si>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</si>
  <si>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</si>
  <si>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</si>
  <si>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</si>
  <si>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</si>
  <si>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</si>
  <si>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</si>
  <si>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</si>
  <si>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</si>
  <si>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</si>
  <si>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</si>
  <si>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</si>
  <si>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</si>
  <si>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</si>
  <si>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</si>
  <si>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</si>
  <si>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</si>
  <si>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</si>
  <si>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</si>
  <si>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</si>
  <si>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</si>
  <si>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</si>
  <si>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</si>
  <si>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</si>
  <si>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</si>
  <si>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</si>
  <si>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</si>
  <si>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</si>
  <si>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</si>
  <si>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</si>
  <si>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</si>
  <si>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</si>
  <si>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</si>
  <si>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</si>
  <si>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</si>
  <si>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</si>
  <si>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</si>
  <si>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</si>
  <si>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</si>
  <si>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</si>
  <si>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</si>
  <si>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</si>
  <si>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</si>
  <si>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</si>
  <si>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</si>
  <si>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</si>
  <si>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</si>
  <si>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</si>
  <si>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</si>
  <si>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</si>
  <si>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</si>
  <si>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</si>
  <si>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</si>
  <si>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</si>
  <si>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</si>
  <si>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</si>
  <si>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</si>
  <si>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</si>
  <si>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</si>
  <si>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</si>
  <si>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</si>
  <si>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</si>
  <si>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</si>
  <si>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</si>
  <si>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</si>
  <si>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</si>
  <si>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</si>
  <si>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</si>
  <si>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</si>
  <si>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</si>
  <si>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</si>
  <si>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</si>
  <si>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</si>
  <si>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</si>
  <si>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</si>
  <si>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</si>
  <si>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</si>
  <si>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</si>
  <si>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</si>
  <si>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</si>
  <si>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</si>
  <si>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</si>
  <si>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</si>
  <si>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</si>
  <si>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</si>
  <si>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</si>
  <si>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</si>
  <si>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</si>
  <si>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</si>
  <si>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</si>
  <si>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</si>
  <si>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</si>
  <si>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</si>
  <si>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</si>
  <si>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</si>
  <si>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</si>
  <si>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</si>
  <si>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</si>
  <si>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</si>
  <si>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</si>
  <si>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</si>
  <si>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</si>
  <si>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</si>
  <si>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</si>
  <si>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</si>
  <si>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</si>
  <si>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</si>
  <si>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</si>
  <si>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</si>
  <si>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</si>
  <si>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</si>
  <si>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</si>
  <si>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</si>
  <si>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</si>
  <si>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</si>
  <si>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</si>
  <si>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</si>
  <si>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</si>
  <si>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</si>
  <si>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</si>
  <si>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</si>
  <si>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</si>
  <si>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</si>
  <si>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</si>
  <si>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</si>
  <si>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</si>
  <si>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</si>
  <si>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</si>
  <si>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</si>
  <si>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</si>
  <si>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</si>
  <si>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</si>
  <si>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</si>
  <si>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</si>
  <si>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</si>
  <si>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</si>
  <si>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</si>
  <si>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</si>
  <si>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</si>
  <si>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</si>
  <si>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</si>
  <si>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</si>
  <si>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</si>
  <si>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</si>
  <si>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</si>
  <si>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</si>
  <si>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</si>
  <si>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</si>
  <si>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</si>
  <si>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</si>
  <si>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</si>
  <si>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</si>
  <si>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</si>
  <si>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</si>
  <si>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</si>
  <si>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</si>
  <si>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</si>
  <si>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</si>
  <si>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</si>
  <si>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</si>
  <si>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</si>
  <si>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</si>
  <si>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</si>
  <si>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</si>
  <si>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</si>
  <si>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</si>
  <si>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</si>
  <si>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</si>
  <si>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</si>
  <si>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</si>
  <si>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</si>
  <si>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</si>
  <si>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</si>
  <si>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</si>
  <si>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</si>
  <si>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</si>
  <si>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</si>
  <si>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</si>
  <si>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</si>
  <si>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</si>
  <si>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</si>
  <si>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</si>
  <si>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</si>
  <si>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</si>
  <si>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</si>
  <si>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</si>
  <si>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</si>
  <si>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</si>
  <si>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</si>
  <si>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</si>
  <si>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</si>
  <si>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</si>
  <si>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</si>
  <si>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</si>
  <si>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</si>
  <si>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</si>
  <si>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</si>
  <si>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</si>
  <si>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</si>
  <si>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</si>
  <si>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</si>
  <si>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</si>
  <si>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</si>
  <si>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</si>
  <si>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</si>
  <si>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</si>
  <si>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</si>
  <si>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</si>
  <si>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</si>
  <si>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</si>
  <si>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</si>
  <si>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</si>
  <si>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</si>
  <si>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</si>
  <si>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</si>
  <si>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</si>
  <si>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</si>
  <si>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</si>
  <si>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</si>
  <si>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</si>
  <si>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</si>
  <si>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</si>
  <si>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</si>
  <si>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</si>
  <si>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</si>
  <si>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</si>
  <si>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</si>
  <si>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</si>
  <si>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</si>
  <si>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</si>
  <si>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</si>
  <si>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</si>
  <si>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</si>
  <si>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</si>
  <si>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</si>
  <si>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</si>
  <si>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</si>
  <si>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</si>
  <si>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</si>
  <si>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</si>
  <si>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</si>
  <si>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</si>
  <si>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</si>
  <si>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</si>
  <si>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</si>
  <si>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</si>
  <si>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</si>
  <si>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</si>
  <si>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</si>
  <si>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</si>
  <si>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</si>
  <si>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</si>
  <si>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</si>
  <si>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</si>
  <si>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</si>
  <si>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</si>
  <si>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</si>
  <si>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</si>
  <si>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</si>
  <si>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</si>
  <si>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</si>
  <si>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</si>
  <si>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</si>
  <si>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</si>
  <si>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</si>
  <si>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</si>
  <si>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</si>
  <si>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</si>
  <si>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</si>
  <si>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</si>
  <si>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</si>
  <si>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</si>
  <si>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</si>
  <si>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</si>
  <si>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</si>
  <si>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</si>
  <si>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</si>
  <si>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</si>
  <si>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</si>
  <si>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</si>
  <si>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</si>
  <si>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</si>
  <si>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</si>
  <si>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</si>
  <si>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</si>
  <si>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</si>
  <si>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</si>
  <si>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</si>
  <si>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</si>
  <si>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</si>
  <si>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</si>
  <si>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</si>
  <si>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</si>
  <si>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</si>
  <si>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</si>
  <si>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</si>
  <si>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</si>
  <si>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</si>
  <si>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</si>
  <si>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</si>
  <si>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</si>
  <si>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</si>
  <si>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</si>
  <si>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</si>
  <si>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</si>
  <si>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</si>
  <si>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</si>
  <si>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</si>
  <si>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</si>
  <si>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</si>
  <si>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</si>
  <si>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</si>
  <si>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</si>
  <si>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</si>
  <si>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</si>
  <si>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</si>
  <si>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</si>
  <si>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</si>
  <si>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</si>
  <si>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</si>
  <si>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</si>
  <si>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</si>
  <si>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</si>
  <si>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</si>
  <si>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</si>
  <si>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</si>
  <si>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</si>
  <si>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</si>
  <si>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</si>
  <si>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</si>
  <si>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</si>
  <si>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</si>
  <si>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</si>
  <si>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</si>
  <si>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</si>
  <si>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</si>
  <si>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</si>
  <si>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</si>
  <si>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</si>
  <si>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</si>
  <si>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</si>
  <si>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</si>
  <si>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</si>
  <si>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</si>
  <si>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</si>
  <si>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</si>
  <si>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</si>
  <si>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</si>
  <si>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</si>
  <si>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</si>
  <si>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</si>
  <si>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</si>
  <si>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</si>
  <si>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</si>
  <si>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</si>
  <si>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</si>
  <si>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</si>
  <si>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</si>
  <si>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</si>
  <si>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</si>
  <si>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</si>
  <si>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</si>
  <si>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</si>
  <si>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</si>
  <si>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</si>
  <si>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</si>
  <si>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</si>
  <si>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</si>
  <si>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</si>
  <si>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</si>
  <si>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</si>
  <si>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</si>
  <si>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</si>
  <si>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</si>
  <si>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</si>
  <si>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</si>
  <si>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</si>
  <si>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</si>
  <si>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</si>
  <si>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</si>
  <si>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</si>
  <si>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</si>
  <si>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</si>
  <si>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</si>
  <si>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</si>
  <si>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</si>
  <si>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</si>
  <si>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</si>
  <si>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</si>
  <si>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</si>
  <si>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</si>
  <si>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</si>
  <si>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</si>
  <si>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</si>
  <si>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</si>
  <si>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</si>
  <si>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</si>
  <si>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</si>
  <si>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</si>
  <si>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</si>
  <si>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</si>
  <si>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</si>
  <si>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</si>
  <si>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</si>
  <si>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</si>
  <si>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</si>
  <si>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</si>
  <si>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</si>
  <si>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</si>
  <si>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</si>
  <si>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</si>
  <si>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</si>
  <si>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</si>
  <si>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</si>
  <si>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</si>
  <si>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</si>
  <si>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</si>
  <si>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</si>
  <si>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</si>
  <si>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</si>
  <si>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</si>
  <si>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</si>
  <si>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</si>
  <si>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</si>
  <si>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</si>
  <si>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</si>
  <si>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</si>
  <si>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</si>
  <si>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</si>
  <si>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</si>
  <si>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</si>
  <si>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</si>
  <si>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</si>
  <si>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</si>
  <si>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</si>
  <si>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</si>
  <si>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</si>
  <si>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</si>
  <si>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</si>
  <si>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</si>
  <si>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</si>
  <si>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</si>
  <si>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</si>
  <si>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</si>
  <si>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</si>
  <si>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</si>
  <si>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</si>
  <si>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</si>
  <si>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</si>
  <si>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</si>
  <si>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</si>
  <si>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</si>
  <si>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</si>
  <si>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</si>
  <si>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</si>
  <si>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</si>
  <si>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</si>
  <si>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</si>
  <si>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</si>
  <si>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</si>
  <si>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</si>
  <si>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</si>
  <si>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</si>
  <si>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</si>
  <si>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</si>
  <si>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</si>
  <si>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</si>
  <si>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</si>
  <si>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</si>
  <si>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</si>
  <si>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</si>
  <si>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</si>
  <si>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</si>
  <si>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</si>
  <si>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</si>
  <si>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</si>
  <si>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</si>
  <si>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</si>
  <si>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</si>
  <si>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</si>
  <si>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</si>
  <si>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</si>
  <si>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</si>
  <si>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</si>
  <si>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</si>
  <si>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</si>
  <si>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</si>
  <si>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</si>
  <si>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</si>
  <si>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</si>
  <si>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</si>
  <si>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</si>
  <si>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</si>
  <si>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</si>
  <si>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</si>
  <si>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</si>
  <si>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</si>
  <si>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</si>
  <si>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</si>
  <si>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</si>
  <si>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</si>
  <si>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</si>
  <si>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</si>
  <si>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</si>
  <si>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</si>
  <si>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</si>
  <si>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</si>
  <si>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</si>
  <si>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</si>
  <si>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</si>
  <si>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</si>
  <si>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</si>
  <si>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</si>
  <si>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</si>
  <si>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</si>
  <si>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</si>
  <si>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</si>
  <si>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</si>
  <si>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</si>
  <si>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</si>
  <si>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</si>
  <si>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</si>
  <si>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</si>
  <si>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</si>
  <si>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</si>
  <si>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</si>
  <si>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</si>
  <si>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</si>
  <si>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</si>
  <si>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</si>
  <si>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</si>
  <si>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</si>
  <si>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</si>
  <si>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</si>
  <si>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</si>
  <si>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</si>
  <si>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</si>
  <si>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</si>
  <si>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</si>
  <si>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</si>
  <si>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</si>
  <si>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</si>
  <si>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</si>
  <si>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</si>
  <si>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</si>
  <si>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</si>
  <si>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</si>
  <si>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</si>
  <si>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</si>
  <si>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</si>
  <si>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</si>
  <si>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</si>
  <si>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</si>
  <si>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</si>
  <si>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</si>
  <si>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</si>
  <si>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</si>
  <si>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</si>
  <si>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</si>
  <si>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</si>
  <si>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</si>
  <si>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</si>
  <si>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</si>
  <si>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</si>
  <si>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</si>
  <si>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</si>
  <si>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</si>
  <si>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</si>
  <si>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</si>
  <si>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</si>
  <si>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</si>
  <si>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</si>
  <si>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</si>
  <si>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</si>
  <si>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</si>
  <si>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</si>
  <si>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</si>
  <si>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</si>
  <si>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</si>
  <si>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</si>
  <si>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</si>
  <si>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</si>
  <si>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</si>
  <si>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</si>
  <si>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</si>
  <si>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</si>
  <si>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</si>
  <si>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</si>
  <si>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</si>
  <si>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</si>
  <si>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</si>
  <si>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</si>
  <si>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</si>
  <si>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</si>
  <si>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</si>
  <si>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</si>
  <si>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</si>
  <si>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</si>
  <si>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</si>
  <si>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</si>
  <si>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</si>
  <si>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</si>
  <si>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</si>
  <si>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</si>
  <si>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</si>
  <si>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</si>
  <si>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</si>
  <si>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</si>
  <si>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</si>
  <si>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</si>
  <si>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</si>
  <si>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</si>
  <si>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</si>
  <si>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</si>
  <si>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</si>
  <si>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</si>
  <si>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</si>
  <si>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</si>
  <si>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</si>
  <si>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</si>
  <si>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</si>
  <si>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</si>
  <si>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</si>
  <si>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</si>
  <si>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</si>
  <si>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</si>
  <si>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</si>
  <si>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</si>
  <si>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</si>
  <si>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</si>
  <si>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</si>
  <si>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</si>
  <si>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</si>
  <si>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</si>
  <si>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</si>
  <si>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</si>
  <si>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</si>
  <si>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</si>
  <si>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</si>
  <si>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</si>
  <si>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</si>
  <si>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</si>
  <si>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</si>
  <si>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</si>
  <si>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</si>
  <si>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</si>
  <si>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</si>
  <si>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</si>
  <si>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</si>
  <si>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</si>
  <si>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</si>
  <si>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</si>
  <si>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</si>
  <si>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</si>
  <si>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</si>
  <si>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</si>
  <si>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</si>
  <si>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</si>
  <si>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</si>
  <si>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</si>
  <si>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</si>
  <si>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</si>
  <si>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</si>
  <si>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</si>
  <si>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</si>
  <si>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</si>
  <si>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</si>
  <si>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</si>
  <si>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</si>
  <si>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</si>
  <si>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</si>
  <si>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</si>
  <si>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</si>
  <si>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</si>
  <si>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</si>
  <si>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</si>
  <si>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</si>
  <si>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</si>
  <si>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</si>
  <si>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</si>
  <si>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</si>
  <si>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</si>
  <si>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</si>
  <si>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</si>
  <si>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</si>
  <si>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</si>
  <si>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</si>
  <si>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</si>
  <si>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</si>
  <si>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</si>
  <si>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</si>
  <si>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</si>
  <si>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</si>
  <si>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</si>
  <si>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</si>
  <si>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</si>
  <si>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</si>
  <si>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</si>
  <si>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</si>
  <si>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</si>
  <si>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</si>
  <si>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</si>
  <si>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</si>
  <si>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</si>
  <si>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</si>
  <si>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</si>
  <si>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</si>
  <si>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</si>
  <si>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</si>
  <si>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</si>
  <si>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</si>
  <si>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</si>
  <si>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</si>
  <si>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</si>
  <si>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</si>
  <si>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</si>
  <si>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</si>
  <si>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</si>
  <si>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</si>
  <si>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</si>
  <si>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</si>
  <si>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</si>
  <si>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</si>
  <si>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</si>
  <si>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</si>
  <si>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</si>
  <si>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</si>
  <si>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</si>
  <si>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</si>
  <si>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</si>
  <si>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</si>
  <si>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</si>
  <si>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</si>
  <si>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</si>
  <si>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</si>
  <si>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</si>
  <si>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</si>
  <si>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</si>
  <si>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</si>
  <si>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</si>
  <si>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</si>
  <si>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</si>
  <si>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</si>
  <si>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</si>
  <si>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</si>
  <si>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</si>
  <si>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</si>
  <si>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</si>
  <si>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</si>
  <si>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</si>
  <si>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</si>
  <si>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</si>
  <si>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</si>
  <si>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</si>
  <si>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</si>
  <si>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</si>
  <si>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</si>
  <si>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</si>
  <si>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</si>
  <si>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</si>
  <si>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</si>
  <si>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</si>
  <si>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</si>
  <si>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</si>
  <si>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</si>
  <si>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</si>
  <si>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</si>
  <si>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</si>
  <si>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</si>
  <si>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</si>
  <si>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</si>
  <si>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</si>
  <si>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</si>
  <si>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</si>
  <si>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</si>
  <si>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</si>
  <si>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</si>
  <si>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</si>
  <si>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</si>
  <si>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</si>
  <si>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</si>
  <si>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</si>
  <si>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</si>
  <si>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</si>
  <si>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</si>
  <si>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</si>
  <si>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</si>
  <si>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</si>
  <si>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</si>
  <si>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</si>
  <si>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</si>
  <si>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</si>
  <si>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</si>
  <si>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</si>
  <si>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</si>
  <si>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</si>
  <si>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</si>
  <si>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</si>
  <si>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</si>
  <si>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</si>
  <si>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</si>
  <si>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</si>
  <si>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</si>
  <si>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</si>
  <si>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</si>
  <si>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</si>
  <si>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</si>
  <si>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</si>
  <si>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</si>
  <si>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</si>
  <si>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</si>
  <si>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</si>
  <si>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</si>
  <si>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</si>
  <si>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</si>
  <si>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</si>
  <si>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</si>
  <si>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</si>
  <si>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</si>
  <si>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</si>
  <si>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</si>
  <si>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</si>
  <si>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</si>
  <si>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</si>
  <si>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</si>
  <si>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</si>
  <si>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</si>
  <si>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</si>
  <si>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</si>
  <si>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</si>
  <si>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</si>
  <si>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</si>
  <si>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</si>
  <si>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</si>
  <si>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</si>
  <si>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</si>
  <si>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</si>
  <si>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</si>
  <si>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</si>
  <si>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</si>
  <si>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</si>
  <si>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</si>
  <si>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</si>
  <si>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</si>
  <si>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</si>
  <si>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</si>
  <si>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</si>
  <si>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</si>
  <si>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</si>
  <si>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</si>
  <si>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</si>
  <si>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</si>
  <si>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</si>
  <si>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</si>
  <si>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</si>
  <si>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</si>
  <si>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</si>
  <si>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</si>
  <si>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</si>
  <si>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</si>
  <si>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</si>
  <si>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</si>
  <si>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</si>
  <si>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</si>
  <si>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</si>
  <si>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</si>
  <si>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</si>
  <si>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</si>
  <si>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</si>
  <si>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</si>
  <si>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</si>
  <si>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</si>
  <si>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</si>
  <si>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</si>
  <si>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</si>
  <si>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</si>
  <si>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</si>
  <si>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</si>
  <si>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</si>
  <si>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</si>
  <si>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</si>
  <si>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</si>
  <si>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</si>
  <si>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</si>
  <si>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</si>
  <si>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</si>
  <si>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</si>
  <si>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</si>
  <si>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</si>
  <si>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</si>
  <si>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</si>
  <si>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</si>
  <si>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</si>
  <si>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</si>
  <si>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</si>
  <si>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</si>
  <si>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</si>
  <si>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</si>
  <si>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</si>
  <si>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</si>
  <si>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</si>
  <si>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</si>
  <si>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</si>
  <si>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</si>
  <si>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</si>
  <si>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</si>
  <si>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</si>
  <si>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</si>
  <si>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</si>
  <si>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</si>
  <si>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</si>
  <si>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</si>
  <si>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</si>
  <si>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</si>
  <si>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</si>
  <si>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</si>
  <si>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</si>
  <si>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</si>
  <si>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</si>
  <si>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</si>
  <si>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</si>
  <si>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</si>
  <si>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</si>
  <si>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</si>
  <si>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</si>
  <si>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</si>
  <si>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</si>
  <si>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</si>
  <si>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</si>
  <si>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</si>
  <si>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</si>
  <si>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</si>
  <si>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</si>
  <si>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</si>
  <si>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</si>
  <si>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</si>
  <si>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</si>
  <si>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</si>
  <si>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</si>
  <si>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</si>
  <si>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</si>
  <si>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</si>
  <si>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</si>
  <si>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</si>
  <si>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</si>
  <si>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</si>
  <si>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</si>
  <si>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</si>
  <si>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</si>
  <si>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</si>
  <si>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</si>
  <si>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</si>
  <si>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</si>
  <si>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</si>
  <si>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</si>
  <si>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</si>
  <si>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</si>
  <si>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</si>
  <si>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</si>
  <si>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</si>
  <si>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</si>
  <si>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</si>
  <si>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</si>
  <si>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</si>
  <si>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</si>
  <si>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</si>
  <si>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</si>
  <si>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</si>
  <si>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</si>
  <si>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</si>
  <si>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</si>
  <si>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</si>
  <si>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</si>
  <si>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</si>
  <si>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</si>
  <si>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</si>
  <si>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</si>
  <si>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</si>
  <si>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</si>
  <si>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</si>
  <si>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</si>
  <si>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</si>
  <si>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</si>
  <si>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</si>
  <si>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</si>
  <si>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</si>
  <si>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</si>
  <si>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</si>
  <si>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</si>
  <si>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</si>
  <si>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</si>
  <si>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</si>
  <si>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</si>
  <si>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</si>
  <si>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</si>
  <si>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</si>
  <si>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</si>
  <si>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</si>
  <si>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</si>
  <si>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</si>
  <si>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</si>
  <si>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</si>
  <si>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</si>
  <si>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</si>
  <si>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</si>
  <si>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</si>
  <si>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</si>
  <si>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</si>
  <si>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</si>
  <si>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</si>
  <si>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</si>
  <si>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</si>
  <si>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</si>
  <si>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</si>
  <si>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</si>
  <si>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</si>
  <si>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</si>
  <si>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</si>
  <si>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</si>
  <si>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</si>
  <si>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</si>
  <si>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</si>
  <si>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</si>
  <si>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</si>
  <si>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</si>
  <si>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</si>
  <si>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</si>
  <si>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</si>
  <si>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</si>
  <si>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</si>
  <si>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</si>
  <si>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</si>
  <si>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</si>
  <si>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</si>
  <si>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</si>
  <si>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</si>
  <si>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</si>
  <si>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</si>
  <si>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</si>
  <si>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</si>
  <si>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</si>
  <si>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</si>
  <si>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</si>
  <si>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</si>
  <si>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</si>
  <si>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</si>
  <si>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</si>
  <si>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</si>
  <si>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</si>
  <si>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</si>
  <si>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</si>
  <si>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</si>
  <si>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</si>
  <si>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</si>
  <si>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</si>
  <si>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</si>
  <si>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</si>
  <si>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</si>
  <si>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</si>
  <si>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</si>
  <si>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</si>
  <si>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</si>
  <si>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</si>
  <si>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</si>
  <si>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</si>
  <si>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</si>
  <si>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</si>
  <si>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</si>
  <si>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</si>
  <si>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</si>
  <si>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</si>
  <si>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</si>
  <si>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</si>
  <si>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</si>
  <si>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</si>
  <si>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</si>
  <si>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</si>
  <si>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</si>
  <si>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</si>
  <si>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</si>
  <si>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</si>
  <si>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</si>
  <si>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</si>
  <si>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</si>
  <si>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</si>
  <si>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</si>
  <si>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</si>
  <si>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</si>
  <si>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</si>
  <si>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</si>
  <si>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</si>
  <si>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</si>
  <si>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</si>
  <si>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</si>
  <si>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</si>
  <si>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</si>
  <si>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</si>
  <si>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</si>
  <si>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</si>
  <si>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</si>
  <si>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</si>
  <si>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</si>
  <si>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</si>
  <si>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</si>
  <si>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</si>
  <si>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</si>
  <si>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</si>
  <si>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</si>
  <si>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</si>
  <si>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</si>
  <si>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</si>
  <si>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</si>
  <si>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</si>
  <si>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</si>
  <si>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</si>
  <si>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</si>
  <si>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</si>
  <si>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</si>
  <si>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</si>
  <si>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</si>
  <si>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</si>
  <si>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</si>
  <si>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</si>
  <si>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</si>
  <si>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</si>
  <si>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</si>
  <si>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</si>
  <si>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</si>
  <si>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</si>
  <si>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</si>
  <si>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</si>
  <si>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</si>
  <si>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</si>
  <si>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</si>
  <si>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</si>
  <si>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</si>
  <si>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</si>
  <si>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</si>
  <si>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</si>
  <si>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</si>
  <si>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</si>
  <si>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</si>
  <si>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</si>
  <si>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</si>
  <si>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</si>
  <si>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</si>
  <si>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</si>
  <si>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</si>
  <si>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</si>
  <si>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</si>
  <si>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</si>
  <si>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</si>
  <si>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</si>
  <si>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</si>
  <si>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</si>
  <si>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</si>
  <si>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</si>
  <si>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</si>
  <si>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</si>
  <si>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</si>
  <si>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</si>
  <si>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</si>
  <si>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</si>
  <si>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</si>
  <si>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</si>
  <si>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</si>
  <si>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</si>
  <si>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</si>
  <si>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</si>
  <si>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</si>
  <si>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</si>
  <si>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</si>
  <si>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</si>
  <si>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</si>
  <si>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</si>
  <si>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</si>
  <si>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</si>
  <si>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</si>
  <si>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</si>
  <si>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</si>
  <si>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</si>
  <si>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</si>
  <si>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</si>
  <si>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</si>
  <si>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</si>
  <si>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</si>
  <si>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</si>
  <si>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</si>
  <si>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</si>
  <si>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</si>
  <si>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</si>
  <si>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</si>
  <si>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</si>
  <si>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</si>
  <si>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</si>
  <si>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</si>
  <si>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</si>
  <si>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</si>
  <si>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</si>
  <si>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</si>
  <si>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</si>
  <si>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</si>
  <si>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</si>
  <si>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</si>
  <si>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</si>
  <si>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</si>
  <si>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</si>
  <si>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</si>
  <si>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</si>
  <si>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</si>
  <si>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</si>
  <si>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</si>
  <si>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</si>
  <si>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</si>
  <si>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</si>
  <si>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</si>
  <si>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</si>
  <si>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</si>
  <si>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</si>
  <si>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</si>
  <si>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</si>
  <si>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</si>
  <si>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</si>
  <si>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</si>
  <si>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</si>
  <si>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</si>
  <si>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</si>
  <si>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</si>
  <si>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</si>
  <si>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</si>
  <si>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</si>
  <si>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</si>
  <si>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</si>
  <si>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</si>
  <si>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</si>
  <si>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</si>
  <si>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</si>
  <si>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</si>
  <si>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</si>
  <si>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</si>
  <si>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</si>
  <si>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</si>
  <si>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</si>
  <si>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</si>
  <si>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</si>
  <si>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</si>
  <si>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</si>
  <si>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</si>
  <si>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</si>
  <si>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</si>
  <si>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</si>
  <si>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</si>
  <si>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</si>
  <si>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</si>
  <si>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</si>
  <si>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</si>
  <si>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</si>
  <si>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</si>
  <si>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</si>
  <si>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</si>
  <si>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</si>
  <si>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</si>
  <si>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</si>
  <si>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</si>
  <si>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</si>
  <si>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</si>
  <si>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</si>
  <si>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</si>
  <si>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</si>
  <si>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</si>
  <si>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</si>
  <si>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</si>
  <si>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</si>
  <si>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</si>
  <si>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</si>
  <si>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</si>
  <si>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</si>
  <si>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</si>
  <si>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</si>
  <si>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</si>
  <si>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</si>
  <si>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</si>
  <si>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</si>
  <si>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</si>
  <si>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</si>
  <si>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</si>
  <si>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</si>
  <si>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</si>
  <si>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</si>
  <si>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</si>
  <si>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</si>
  <si>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</si>
  <si>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</si>
  <si>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</si>
  <si>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</si>
  <si>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</si>
  <si>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</si>
  <si>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</si>
  <si>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</si>
  <si>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</si>
  <si>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</si>
  <si>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</si>
  <si>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</si>
  <si>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</si>
  <si>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</si>
  <si>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</si>
  <si>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</si>
  <si>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</si>
  <si>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</si>
  <si>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</si>
  <si>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</si>
  <si>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</si>
  <si>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</si>
  <si>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</si>
  <si>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</si>
  <si>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</si>
  <si>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</si>
  <si>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</si>
  <si>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</si>
  <si>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</si>
  <si>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</si>
  <si>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</si>
  <si>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</si>
  <si>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</si>
  <si>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</si>
  <si>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</si>
  <si>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</si>
  <si>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</si>
  <si>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</si>
  <si>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</si>
  <si>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</si>
  <si>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</si>
  <si>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</si>
  <si>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</si>
  <si>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</si>
  <si>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</si>
  <si>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</si>
  <si>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</si>
  <si>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</si>
  <si>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</si>
  <si>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</si>
  <si>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</si>
  <si>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</si>
  <si>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</si>
  <si>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</si>
  <si>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</si>
  <si>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</si>
  <si>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</si>
  <si>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</si>
  <si>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</si>
  <si>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</si>
  <si>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</si>
  <si>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</si>
  <si>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</si>
  <si>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</si>
  <si>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</si>
  <si>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</si>
  <si>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</si>
  <si>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</si>
  <si>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</si>
  <si>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</si>
  <si>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</si>
  <si>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</si>
  <si>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</si>
  <si>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</si>
  <si>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</si>
  <si>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</si>
  <si>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</si>
  <si>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</si>
  <si>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</si>
  <si>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</si>
  <si>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</si>
  <si>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</si>
  <si>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</si>
  <si>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</si>
  <si>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</si>
  <si>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</si>
  <si>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</si>
  <si>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</si>
  <si>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</si>
  <si>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</si>
  <si>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</si>
  <si>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</si>
  <si>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</si>
  <si>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</si>
  <si>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</si>
  <si>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</si>
  <si>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</si>
  <si>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</si>
  <si>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</si>
  <si>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</si>
  <si>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</si>
  <si>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</si>
  <si>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</si>
  <si>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</si>
  <si>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</si>
  <si>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</si>
  <si>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</si>
  <si>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</si>
  <si>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</si>
  <si>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</si>
  <si>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</si>
  <si>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</si>
  <si>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</si>
  <si>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</si>
  <si>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</si>
  <si>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</si>
  <si>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</si>
  <si>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</si>
  <si>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</si>
  <si>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</si>
  <si>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</si>
  <si>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</si>
  <si>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</si>
  <si>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</si>
  <si>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</si>
  <si>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</si>
  <si>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</si>
  <si>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</si>
  <si>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</si>
  <si>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</si>
  <si>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</si>
  <si>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</si>
  <si>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</si>
  <si>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</si>
  <si>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</si>
  <si>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</si>
  <si>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</si>
  <si>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</si>
  <si>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</si>
  <si>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</si>
  <si>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</si>
  <si>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</si>
  <si>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</si>
  <si>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</si>
  <si>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</si>
  <si>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</si>
  <si>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</si>
  <si>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</si>
  <si>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</si>
  <si>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</si>
  <si>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</si>
  <si>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</si>
  <si>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</si>
  <si>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</si>
  <si>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</si>
  <si>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</si>
  <si>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</si>
  <si>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</si>
  <si>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</si>
  <si>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</si>
  <si>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</si>
  <si>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</si>
  <si>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</si>
  <si>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</si>
  <si>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</si>
  <si>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</si>
  <si>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</si>
  <si>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</si>
  <si>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</si>
  <si>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</si>
  <si>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</si>
  <si>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</si>
  <si>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</si>
  <si>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</si>
  <si>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</si>
  <si>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</si>
  <si>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</si>
  <si>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</si>
  <si>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</si>
  <si>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</si>
  <si>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</si>
  <si>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</si>
  <si>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</si>
  <si>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</si>
  <si>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</si>
  <si>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</si>
  <si>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</si>
  <si>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</si>
  <si>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</si>
  <si>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</si>
  <si>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</si>
  <si>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</si>
  <si>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</si>
  <si>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</si>
  <si>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</si>
  <si>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</si>
  <si>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</si>
  <si>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</si>
  <si>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</si>
  <si>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</si>
  <si>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</si>
  <si>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</si>
  <si>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</si>
  <si>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</si>
  <si>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</si>
  <si>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</si>
  <si>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</si>
  <si>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</si>
  <si>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</si>
  <si>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</si>
  <si>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</si>
  <si>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</si>
  <si>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</si>
  <si>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</si>
  <si>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</si>
  <si>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</si>
  <si>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</si>
  <si>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</si>
  <si>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</si>
  <si>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</si>
  <si>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</si>
  <si>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</si>
  <si>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</si>
  <si>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</si>
  <si>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</si>
  <si>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</si>
  <si>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</si>
  <si>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</si>
  <si>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</si>
  <si>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</si>
  <si>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</si>
  <si>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</si>
  <si>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</si>
  <si>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</si>
  <si>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</si>
  <si>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</si>
  <si>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</si>
  <si>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</si>
  <si>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</si>
  <si>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</si>
  <si>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</si>
  <si>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</si>
  <si>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</si>
  <si>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</si>
  <si>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</si>
  <si>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</si>
  <si>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</si>
  <si>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</si>
  <si>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</si>
  <si>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</si>
  <si>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</si>
  <si>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</si>
  <si>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</si>
  <si>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</si>
  <si>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</si>
  <si>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</si>
  <si>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</si>
  <si>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</si>
  <si>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</si>
  <si>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</si>
  <si>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</si>
  <si>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</si>
  <si>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</si>
  <si>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</si>
  <si>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</si>
  <si>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</si>
  <si>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</si>
  <si>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</si>
  <si>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</si>
  <si>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</si>
  <si>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</si>
  <si>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</si>
  <si>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</si>
  <si>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</si>
  <si>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</si>
  <si>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</si>
  <si>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</si>
  <si>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</si>
  <si>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</si>
  <si>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</si>
  <si>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</si>
  <si>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</si>
  <si>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</si>
  <si>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</si>
  <si>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</si>
  <si>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</si>
  <si>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</si>
  <si>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</si>
  <si>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</si>
  <si>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</si>
  <si>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</si>
  <si>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</si>
  <si>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</si>
  <si>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</si>
  <si>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</si>
  <si>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</si>
  <si>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</si>
  <si>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</si>
  <si>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</si>
  <si>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</si>
  <si>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</si>
  <si>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</si>
  <si>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</si>
  <si>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</si>
  <si>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</si>
  <si>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</si>
  <si>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</si>
  <si>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</si>
  <si>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</si>
  <si>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</si>
  <si>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</si>
  <si>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</si>
  <si>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</si>
  <si>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</si>
  <si>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</si>
  <si>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</si>
  <si>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</si>
  <si>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</si>
  <si>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</si>
  <si>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</si>
  <si>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</si>
  <si>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</si>
  <si>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</si>
  <si>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</si>
  <si>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</si>
  <si>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</si>
  <si>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</si>
  <si>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</si>
  <si>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</si>
  <si>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</si>
  <si>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</si>
  <si>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</si>
  <si>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</si>
  <si>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</si>
  <si>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</si>
  <si>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</si>
  <si>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</si>
  <si>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</si>
  <si>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</si>
  <si>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</si>
  <si>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</si>
  <si>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</si>
  <si>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</si>
  <si>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</si>
  <si>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</si>
  <si>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</si>
  <si>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</si>
  <si>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</si>
  <si>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</si>
  <si>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</si>
  <si>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</si>
  <si>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</si>
  <si>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</si>
  <si>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</si>
  <si>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</si>
  <si>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</si>
  <si>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</si>
  <si>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</si>
  <si>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</si>
  <si>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</si>
  <si>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</si>
  <si>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</si>
  <si>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</si>
  <si>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</si>
  <si>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</si>
  <si>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</si>
  <si>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</si>
  <si>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</si>
  <si>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</si>
  <si>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</si>
  <si>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</si>
  <si>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</si>
  <si>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</si>
  <si>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</si>
  <si>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</si>
  <si>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</si>
  <si>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</si>
  <si>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</si>
  <si>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</si>
  <si>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</si>
  <si>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</si>
  <si>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</si>
  <si>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</si>
  <si>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</si>
  <si>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</si>
  <si>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</si>
  <si>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</si>
  <si>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</si>
  <si>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</si>
  <si>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</si>
  <si>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</si>
  <si>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</si>
  <si>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</si>
  <si>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</si>
  <si>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</si>
  <si>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</si>
  <si>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</si>
  <si>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</si>
  <si>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</si>
  <si>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</si>
  <si>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</si>
  <si>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</si>
  <si>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</si>
  <si>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</si>
  <si>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</si>
  <si>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</si>
  <si>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</si>
  <si>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</si>
  <si>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</si>
  <si>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</si>
  <si>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</si>
  <si>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</si>
  <si>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</si>
  <si>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</si>
  <si>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</si>
  <si>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</si>
  <si>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</si>
  <si>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</si>
  <si>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</si>
  <si>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</si>
  <si>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</si>
  <si>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</si>
  <si>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</si>
  <si>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</si>
  <si>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</si>
  <si>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</si>
  <si>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</si>
  <si>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</si>
  <si>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</si>
  <si>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</si>
  <si>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</si>
  <si>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</si>
  <si>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</si>
  <si>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</si>
  <si>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</si>
  <si>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</si>
  <si>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</si>
  <si>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</si>
  <si>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</si>
  <si>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</si>
  <si>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</si>
  <si>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</si>
  <si>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</si>
  <si>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</si>
  <si>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</si>
  <si>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</si>
  <si>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</si>
  <si>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</si>
  <si>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</si>
  <si>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</si>
  <si>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</si>
  <si>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</si>
  <si>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</si>
  <si>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</si>
  <si>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</si>
  <si>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</si>
  <si>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</si>
  <si>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</si>
  <si>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</si>
  <si>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</si>
  <si>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</si>
  <si>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</si>
  <si>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</si>
  <si>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</si>
  <si>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</si>
  <si>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</si>
  <si>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</si>
  <si>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</si>
  <si>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</si>
  <si>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</si>
  <si>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</si>
  <si>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</si>
  <si>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</si>
  <si>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</si>
  <si>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</si>
  <si>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</si>
  <si>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</si>
  <si>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</si>
  <si>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</si>
  <si>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</si>
  <si>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</si>
  <si>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</si>
  <si>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</si>
  <si>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</si>
  <si>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</si>
  <si>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</si>
  <si>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</si>
  <si>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</si>
  <si>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</si>
  <si>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</si>
  <si>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</si>
  <si>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</si>
  <si>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</si>
  <si>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</si>
  <si>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</si>
  <si>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</si>
  <si>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</si>
  <si>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</si>
  <si>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</si>
  <si>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</si>
  <si>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</si>
  <si>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</si>
  <si>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</si>
  <si>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</si>
  <si>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</si>
  <si>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</si>
  <si>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</si>
  <si>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</si>
  <si>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</si>
  <si>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</si>
  <si>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</si>
  <si>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</si>
  <si>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</si>
  <si>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</si>
  <si>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</si>
  <si>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</si>
  <si>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</si>
  <si>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</si>
  <si>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</si>
  <si>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</si>
  <si>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</si>
  <si>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</si>
  <si>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</si>
  <si>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</si>
  <si>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</si>
  <si>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</si>
  <si>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</si>
  <si>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</si>
  <si>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</si>
  <si>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</si>
  <si>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</si>
  <si>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</si>
  <si>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</si>
  <si>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</si>
  <si>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</si>
  <si>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</si>
  <si>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</si>
  <si>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</si>
  <si>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</si>
  <si>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</si>
  <si>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</si>
  <si>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</si>
  <si>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</si>
  <si>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</si>
  <si>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</si>
  <si>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</si>
  <si>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</si>
  <si>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</si>
  <si>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</si>
  <si>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</si>
  <si>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</si>
  <si>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</si>
  <si>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</si>
  <si>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</si>
  <si>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</si>
  <si>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</si>
  <si>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</si>
  <si>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</si>
  <si>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</si>
  <si>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</si>
  <si>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</si>
  <si>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</si>
  <si>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</si>
  <si>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</si>
  <si>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</si>
  <si>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</si>
  <si>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</si>
  <si>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</si>
  <si>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</si>
  <si>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</si>
  <si>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</si>
  <si>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</si>
  <si>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</si>
  <si>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</si>
  <si>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</si>
  <si>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</si>
  <si>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</si>
  <si>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</si>
  <si>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</si>
  <si>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</si>
  <si>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</si>
  <si>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</si>
  <si>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</si>
  <si>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</si>
  <si>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</si>
  <si>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</si>
  <si>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</si>
  <si>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</si>
  <si>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</si>
  <si>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</si>
  <si>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</si>
  <si>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</si>
  <si>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</si>
  <si>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</si>
  <si>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</si>
  <si>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</si>
  <si>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</si>
  <si>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</si>
  <si>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</si>
  <si>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</si>
  <si>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</si>
  <si>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</si>
  <si>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</si>
  <si>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</si>
  <si>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</si>
  <si>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</si>
  <si>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</si>
  <si>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</si>
  <si>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</si>
  <si>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</si>
  <si>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</si>
  <si>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</si>
  <si>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</si>
  <si>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</si>
  <si>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</si>
  <si>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</si>
  <si>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</si>
  <si>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</si>
  <si>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</si>
  <si>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</si>
  <si>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</si>
  <si>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</si>
  <si>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</si>
  <si>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</si>
  <si>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</si>
  <si>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</si>
  <si>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</si>
  <si>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</si>
  <si>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</si>
  <si>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</si>
  <si>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</si>
  <si>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</si>
  <si>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</si>
  <si>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</si>
  <si>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</si>
  <si>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</si>
  <si>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</si>
  <si>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</si>
  <si>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</si>
  <si>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</si>
  <si>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</si>
  <si>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</si>
  <si>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</si>
  <si>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</si>
  <si>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</si>
  <si>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</si>
  <si>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</si>
  <si>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</si>
  <si>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</si>
  <si>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</si>
  <si>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</si>
  <si>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</si>
  <si>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</si>
  <si>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</si>
  <si>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</si>
  <si>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</si>
  <si>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</si>
  <si>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</si>
  <si>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</si>
  <si>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</si>
  <si>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</si>
  <si>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</si>
  <si>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</si>
  <si>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</si>
  <si>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</si>
  <si>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</si>
  <si>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</si>
  <si>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</si>
  <si>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</si>
  <si>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</si>
  <si>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</si>
  <si>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</si>
  <si>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</si>
  <si>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</si>
  <si>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</si>
  <si>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</si>
  <si>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</si>
  <si>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</si>
  <si>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</si>
  <si>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</si>
  <si>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</si>
  <si>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</si>
  <si>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</si>
  <si>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</si>
  <si>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</si>
  <si>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</si>
  <si>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</si>
  <si>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</si>
  <si>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</si>
  <si>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</si>
  <si>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</si>
  <si>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</si>
  <si>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</si>
  <si>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</si>
  <si>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</si>
  <si>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</si>
  <si>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</si>
  <si>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</si>
  <si>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</si>
  <si>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</si>
  <si>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</si>
  <si>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</si>
  <si>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</si>
  <si>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</si>
  <si>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</si>
  <si>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</si>
  <si>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</si>
  <si>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</si>
  <si>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</si>
  <si>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</si>
  <si>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</si>
  <si>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</si>
  <si>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</si>
  <si>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</si>
  <si>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</si>
  <si>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</si>
  <si>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</si>
  <si>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</si>
  <si>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</si>
  <si>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</si>
  <si>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</si>
  <si>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</si>
  <si>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</si>
  <si>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</si>
  <si>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</si>
  <si>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</si>
  <si>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</si>
  <si>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</si>
  <si>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</si>
  <si>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</si>
  <si>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</si>
  <si>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</si>
  <si>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</si>
  <si>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</si>
  <si>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</si>
  <si>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</si>
  <si>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</si>
  <si>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</si>
  <si>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</si>
  <si>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</si>
  <si>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</si>
  <si>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</si>
  <si>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</si>
  <si>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</si>
  <si>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</si>
  <si>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</si>
  <si>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</si>
  <si>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</si>
  <si>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</si>
  <si>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</si>
  <si>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</si>
  <si>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</si>
  <si>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</si>
  <si>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</si>
  <si>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</si>
  <si>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</si>
  <si>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</si>
  <si>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</si>
  <si>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</si>
  <si>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</si>
  <si>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</si>
  <si>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</si>
  <si>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</si>
  <si>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</si>
  <si>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</si>
  <si>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</si>
  <si>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</si>
  <si>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</si>
  <si>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</si>
  <si>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</si>
  <si>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</si>
  <si>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</si>
  <si>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</si>
  <si>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</si>
  <si>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</si>
  <si>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</si>
  <si>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</si>
  <si>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</si>
  <si>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</si>
  <si>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</si>
  <si>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</si>
  <si>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</si>
  <si>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</si>
  <si>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</si>
  <si>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</si>
  <si>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</si>
  <si>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</si>
  <si>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</si>
  <si>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</si>
  <si>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</si>
  <si>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</si>
  <si>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</si>
  <si>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</si>
  <si>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</si>
  <si>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</si>
  <si>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</si>
  <si>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</si>
  <si>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</si>
  <si>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</si>
  <si>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</si>
  <si>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</si>
  <si>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</si>
  <si>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</si>
  <si>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</si>
  <si>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</si>
  <si>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</si>
  <si>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</si>
  <si>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</si>
  <si>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</si>
  <si>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</si>
  <si>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</si>
  <si>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</si>
  <si>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</si>
  <si>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</si>
  <si>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</si>
  <si>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</si>
  <si>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</si>
  <si>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</si>
  <si>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</si>
  <si>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</si>
  <si>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</si>
  <si>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</si>
  <si>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</si>
  <si>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</si>
  <si>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</si>
  <si>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</si>
  <si>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</si>
  <si>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</si>
  <si>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</si>
  <si>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</si>
  <si>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</si>
  <si>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</si>
  <si>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</si>
  <si>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</si>
  <si>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</si>
  <si>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</si>
  <si>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</si>
  <si>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</si>
  <si>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</si>
  <si>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</si>
  <si>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</si>
  <si>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</si>
  <si>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</si>
  <si>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</si>
  <si>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</si>
  <si>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</si>
  <si>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</si>
  <si>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Coffee Type full name</t>
  </si>
  <si>
    <t>Roast Type full name</t>
  </si>
  <si>
    <t>Feb</t>
  </si>
  <si>
    <t>Years (Order Date)</t>
  </si>
  <si>
    <t>Months (Order Date)</t>
  </si>
  <si>
    <t>Sum of Sales</t>
  </si>
  <si>
    <t>Excelsa</t>
  </si>
  <si>
    <t>Librica</t>
  </si>
  <si>
    <t>Robusta</t>
  </si>
  <si>
    <t>Royalty card</t>
  </si>
  <si>
    <t>country</t>
  </si>
  <si>
    <t>2021</t>
  </si>
  <si>
    <t>Arabic</t>
  </si>
  <si>
    <t>Jan</t>
  </si>
  <si>
    <t>Jul</t>
  </si>
  <si>
    <t>Aug</t>
  </si>
  <si>
    <t>Sep</t>
  </si>
  <si>
    <t>Oct</t>
  </si>
  <si>
    <t>Nov</t>
  </si>
  <si>
    <t>Dec</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</si>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</sst>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quot;kg&quot;"/>
    <numFmt numFmtId="167" formatCode="&quot;$&quot;#,##0.00"/>
    <numFmt numFmtId="168" formatCode="&quot;$&quot;#,##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7" fontId="0" fillId="0" borderId="0" xfId="1" applyNumberFormat="1" applyFont="1"/>
    <xf numFmtId="168" fontId="0" fillId="0" borderId="0" xfId="0" applyNumberFormat="1"/>
    <xf numFmtId="167" fontId="0" fillId="0" borderId="0" xfId="0" applyNumberFormat="1"/>
  </cellXfs>
  <cellStyles count="2">
    <cellStyle name="Currency" xfId="1" builtinId="4"/>
    <cellStyle name="Normal" xfId="0" builtinId="0"/>
  </cellStyles>
  <dxfs count="82">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numFmt numFmtId="168" formatCode="&quot;$&quot;#,##0"/>
    </dxf>
    <dxf>
      <numFmt numFmtId="0" formatCode="General"/>
    </dxf>
    <dxf>
      <font>
        <b val="0"/>
        <i val="0"/>
        <strike val="0"/>
        <condense val="0"/>
        <extend val="0"/>
        <outline val="0"/>
        <shadow val="0"/>
        <u val="none"/>
        <vertAlign val="baseline"/>
        <sz val="11"/>
        <color theme="1"/>
        <name val="Calibri"/>
        <family val="2"/>
        <scheme val="minor"/>
      </font>
      <numFmt numFmtId="167" formatCode="&quot;$&quot;#,##0.00"/>
    </dxf>
    <dxf>
      <font>
        <b val="0"/>
        <i val="0"/>
        <strike val="0"/>
        <condense val="0"/>
        <extend val="0"/>
        <outline val="0"/>
        <shadow val="0"/>
        <u val="none"/>
        <vertAlign val="baseline"/>
        <sz val="11"/>
        <color theme="1"/>
        <name val="Calibri"/>
        <family val="2"/>
        <scheme val="minor"/>
      </font>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67" formatCode="&quot;$&quot;#,##0.00"/>
    </dxf>
    <dxf>
      <numFmt numFmtId="167" formatCode="&quot;$&quot;#,##0.00"/>
    </dxf>
    <dxf>
      <numFmt numFmtId="168" formatCode="&quot;$&quot;#,##0"/>
    </dxf>
    <dxf>
      <numFmt numFmtId="167" formatCode="&quot;$&quot;#,##0.00"/>
    </dxf>
    <dxf>
      <numFmt numFmtId="167" formatCode="&quot;$&quot;#,##0.00"/>
    </dxf>
    <dxf>
      <font>
        <b/>
        <i val="0"/>
        <sz val="14"/>
        <color theme="0"/>
        <name val="Calibri"/>
        <family val="2"/>
        <scheme val="minor"/>
      </font>
    </dxf>
    <dxf>
      <font>
        <b/>
        <i val="0"/>
        <sz val="11"/>
        <color theme="0"/>
        <name val="Calibri"/>
        <family val="2"/>
        <scheme val="minor"/>
      </font>
      <fill>
        <patternFill patternType="solid">
          <fgColor theme="0"/>
          <bgColor rgb="FF4E342E"/>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0"/>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fill>
        <patternFill>
          <bgColor rgb="FF4E342E"/>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4" xr9:uid="{FD4F6A28-6BD6-4B2F-AE49-E620E785476E}">
      <tableStyleElement type="wholeTable" dxfId="81"/>
      <tableStyleElement type="headerRow" dxfId="80"/>
    </tableStyle>
    <tableStyle name="Timeline 1" pivot="0" table="0" count="8" xr9:uid="{F76A7077-8396-4A0C-A6B5-CD340DCCDD51}">
      <tableStyleElement type="wholeTable" dxfId="79"/>
      <tableStyleElement type="headerRow" dxfId="78"/>
    </tableStyle>
  </tableStyles>
  <colors>
    <mruColors>
      <color rgb="FF4E342E"/>
      <color rgb="FF8D6E63"/>
      <color rgb="FF739499"/>
    </mruColors>
  </colors>
  <extLst>
    <ext xmlns:x14="http://schemas.microsoft.com/office/spreadsheetml/2009/9/main" uri="{46F421CA-312F-682f-3DD2-61675219B42D}">
      <x14:dxfs count="2">
        <dxf>
          <font>
            <b/>
            <i val="0"/>
            <sz val="12"/>
            <color theme="0"/>
            <name val="Calibri"/>
            <family val="2"/>
            <scheme val="minor"/>
          </font>
          <border>
            <left style="thin">
              <color auto="1"/>
            </left>
            <right style="thin">
              <color auto="1"/>
            </right>
            <top style="thin">
              <color auto="1"/>
            </top>
            <bottom style="thin">
              <color auto="1"/>
            </bottom>
          </border>
        </dxf>
        <dxf>
          <font>
            <b/>
            <i val="0"/>
            <sz val="12"/>
            <color theme="0"/>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rgb="FF4E342E"/>
            </patternFill>
          </fill>
          <border diagonalUp="0" diagonalDown="0">
            <left style="thin">
              <color theme="0"/>
            </left>
            <right style="thin">
              <color theme="0"/>
            </right>
            <top style="thin">
              <color theme="0"/>
            </top>
            <bottom style="thin">
              <color theme="0"/>
            </bottom>
            <vertical/>
            <horizontal/>
          </border>
        </dxf>
        <dxf>
          <font>
            <b/>
            <i val="0"/>
            <sz val="12"/>
            <color theme="0"/>
            <name val="Calibri"/>
            <family val="2"/>
            <scheme val="minor"/>
          </font>
        </dxf>
        <dxf>
          <font>
            <b/>
            <i val="0"/>
            <sz val="12"/>
            <color theme="0"/>
            <name val="Calibri"/>
            <family val="2"/>
            <scheme val="minor"/>
          </font>
        </dxf>
        <dxf>
          <font>
            <b/>
            <i/>
            <sz val="12"/>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Timelin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sales!TOTAL</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solidFill>
            <a:round/>
          </a:ln>
          <a:effectLst/>
        </c:spP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sales'!$C$4:$C$5</c:f>
              <c:strCache>
                <c:ptCount val="1"/>
                <c:pt idx="0">
                  <c:v>Arabic</c:v>
                </c:pt>
              </c:strCache>
            </c:strRef>
          </c:tx>
          <c:spPr>
            <a:ln w="28575" cap="rnd">
              <a:solidFill>
                <a:schemeClr val="accent1"/>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sales'!$C$6:$C$13</c:f>
              <c:numCache>
                <c:formatCode>"$"#,##0</c:formatCode>
                <c:ptCount val="8"/>
                <c:pt idx="0">
                  <c:v>11.94</c:v>
                </c:pt>
                <c:pt idx="6">
                  <c:v>40.5</c:v>
                </c:pt>
                <c:pt idx="7">
                  <c:v>68.699999999999989</c:v>
                </c:pt>
              </c:numCache>
            </c:numRef>
          </c:val>
          <c:smooth val="0"/>
          <c:extLst>
            <c:ext xmlns:c16="http://schemas.microsoft.com/office/drawing/2014/chart" uri="{C3380CC4-5D6E-409C-BE32-E72D297353CC}">
              <c16:uniqueId val="{00000000-63A6-4F6E-B33B-1A51E8FA00E4}"/>
            </c:ext>
          </c:extLst>
        </c:ser>
        <c:ser>
          <c:idx val="1"/>
          <c:order val="1"/>
          <c:tx>
            <c:strRef>
              <c:f>'Total sales'!$D$4:$D$5</c:f>
              <c:strCache>
                <c:ptCount val="1"/>
                <c:pt idx="0">
                  <c:v>Excelsa</c:v>
                </c:pt>
              </c:strCache>
            </c:strRef>
          </c:tx>
          <c:spPr>
            <a:ln w="28575" cap="rnd">
              <a:solidFill>
                <a:schemeClr val="accent6"/>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sales'!$D$6:$D$13</c:f>
              <c:numCache>
                <c:formatCode>"$"#,##0</c:formatCode>
                <c:ptCount val="8"/>
                <c:pt idx="3">
                  <c:v>29.16</c:v>
                </c:pt>
                <c:pt idx="4">
                  <c:v>21.87</c:v>
                </c:pt>
                <c:pt idx="5">
                  <c:v>83.88</c:v>
                </c:pt>
                <c:pt idx="6">
                  <c:v>36.450000000000003</c:v>
                </c:pt>
                <c:pt idx="7">
                  <c:v>55.83</c:v>
                </c:pt>
              </c:numCache>
            </c:numRef>
          </c:val>
          <c:smooth val="0"/>
          <c:extLst>
            <c:ext xmlns:c16="http://schemas.microsoft.com/office/drawing/2014/chart" uri="{C3380CC4-5D6E-409C-BE32-E72D297353CC}">
              <c16:uniqueId val="{00000001-63A6-4F6E-B33B-1A51E8FA00E4}"/>
            </c:ext>
          </c:extLst>
        </c:ser>
        <c:ser>
          <c:idx val="2"/>
          <c:order val="2"/>
          <c:tx>
            <c:strRef>
              <c:f>'Total sales'!$E$4:$E$5</c:f>
              <c:strCache>
                <c:ptCount val="1"/>
                <c:pt idx="0">
                  <c:v>Librica</c:v>
                </c:pt>
              </c:strCache>
            </c:strRef>
          </c:tx>
          <c:spPr>
            <a:ln w="28575" cap="rnd">
              <a:solidFill>
                <a:srgbClr val="FF0000"/>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sales'!$E$6:$E$13</c:f>
              <c:numCache>
                <c:formatCode>"$"#,##0</c:formatCode>
                <c:ptCount val="8"/>
                <c:pt idx="0">
                  <c:v>52.38</c:v>
                </c:pt>
                <c:pt idx="3">
                  <c:v>38.04</c:v>
                </c:pt>
              </c:numCache>
            </c:numRef>
          </c:val>
          <c:smooth val="0"/>
          <c:extLst>
            <c:ext xmlns:c16="http://schemas.microsoft.com/office/drawing/2014/chart" uri="{C3380CC4-5D6E-409C-BE32-E72D297353CC}">
              <c16:uniqueId val="{00000005-63A6-4F6E-B33B-1A51E8FA00E4}"/>
            </c:ext>
          </c:extLst>
        </c:ser>
        <c:ser>
          <c:idx val="3"/>
          <c:order val="3"/>
          <c:tx>
            <c:strRef>
              <c:f>'Total sales'!$F$4:$F$5</c:f>
              <c:strCache>
                <c:ptCount val="1"/>
                <c:pt idx="0">
                  <c:v>Robusta</c:v>
                </c:pt>
              </c:strCache>
            </c:strRef>
          </c:tx>
          <c:spPr>
            <a:ln w="28575" cap="rnd">
              <a:solidFill>
                <a:srgbClr val="FFFF00"/>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sales'!$F$6:$F$13</c:f>
              <c:numCache>
                <c:formatCode>"$"#,##0</c:formatCode>
                <c:ptCount val="8"/>
                <c:pt idx="1">
                  <c:v>11.94</c:v>
                </c:pt>
                <c:pt idx="2">
                  <c:v>5.97</c:v>
                </c:pt>
                <c:pt idx="6">
                  <c:v>23.88</c:v>
                </c:pt>
              </c:numCache>
            </c:numRef>
          </c:val>
          <c:smooth val="0"/>
          <c:extLst>
            <c:ext xmlns:c16="http://schemas.microsoft.com/office/drawing/2014/chart" uri="{C3380CC4-5D6E-409C-BE32-E72D297353CC}">
              <c16:uniqueId val="{00000002-71FC-46C6-9FA5-5B87526955F6}"/>
            </c:ext>
          </c:extLst>
        </c:ser>
        <c:dLbls>
          <c:showLegendKey val="0"/>
          <c:showVal val="0"/>
          <c:showCatName val="0"/>
          <c:showSerName val="0"/>
          <c:showPercent val="0"/>
          <c:showBubbleSize val="0"/>
        </c:dLbls>
        <c:smooth val="0"/>
        <c:axId val="828539935"/>
        <c:axId val="828532255"/>
      </c:lineChart>
      <c:catAx>
        <c:axId val="828539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532255"/>
        <c:crosses val="autoZero"/>
        <c:auto val="1"/>
        <c:lblAlgn val="ctr"/>
        <c:lblOffset val="100"/>
        <c:noMultiLvlLbl val="0"/>
      </c:catAx>
      <c:valAx>
        <c:axId val="82853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layout>
            <c:manualLayout>
              <c:xMode val="edge"/>
              <c:yMode val="edge"/>
              <c:x val="1.6666666666666666E-2"/>
              <c:y val="0.39025116652085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5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BarChart!TOTAL</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BarChart'!$E$11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BarChart'!$D$12:$D$14</c:f>
              <c:strCache>
                <c:ptCount val="3"/>
                <c:pt idx="0">
                  <c:v>Ireland</c:v>
                </c:pt>
                <c:pt idx="1">
                  <c:v>United Kingdom</c:v>
                </c:pt>
                <c:pt idx="2">
                  <c:v>United States</c:v>
                </c:pt>
              </c:strCache>
            </c:strRef>
          </c:cat>
          <c:val>
            <c:numRef>
              <c:f>'Country BarChart'!$E$12:$E$14</c:f>
              <c:numCache>
                <c:formatCode>"$"#,##0</c:formatCode>
                <c:ptCount val="3"/>
                <c:pt idx="0">
                  <c:v>64.320000000000007</c:v>
                </c:pt>
                <c:pt idx="1">
                  <c:v>74.399999999999991</c:v>
                </c:pt>
                <c:pt idx="2">
                  <c:v>341.82</c:v>
                </c:pt>
              </c:numCache>
            </c:numRef>
          </c:val>
          <c:extLst>
            <c:ext xmlns:c16="http://schemas.microsoft.com/office/drawing/2014/chart" uri="{C3380CC4-5D6E-409C-BE32-E72D297353CC}">
              <c16:uniqueId val="{00000000-287F-4D84-8FE9-90D719511DC4}"/>
            </c:ext>
          </c:extLst>
        </c:ser>
        <c:dLbls>
          <c:dLblPos val="outEnd"/>
          <c:showLegendKey val="0"/>
          <c:showVal val="1"/>
          <c:showCatName val="0"/>
          <c:showSerName val="0"/>
          <c:showPercent val="0"/>
          <c:showBubbleSize val="0"/>
        </c:dLbls>
        <c:gapWidth val="182"/>
        <c:axId val="1446005599"/>
        <c:axId val="1446011839"/>
      </c:barChart>
      <c:catAx>
        <c:axId val="144600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11839"/>
        <c:crosses val="autoZero"/>
        <c:auto val="1"/>
        <c:lblAlgn val="ctr"/>
        <c:lblOffset val="100"/>
        <c:noMultiLvlLbl val="0"/>
      </c:catAx>
      <c:valAx>
        <c:axId val="1446011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0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5!TOTAL</c:name>
    <c:fmtId val="2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5'!$E$11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5'!$D$12:$D$16</c:f>
              <c:strCache>
                <c:ptCount val="5"/>
                <c:pt idx="0">
                  <c:v>Blancha McAmish</c:v>
                </c:pt>
                <c:pt idx="1">
                  <c:v>Orbadiah Duny</c:v>
                </c:pt>
                <c:pt idx="2">
                  <c:v>Christopher Grieveson</c:v>
                </c:pt>
                <c:pt idx="3">
                  <c:v>Carney Clemencet</c:v>
                </c:pt>
                <c:pt idx="4">
                  <c:v>Franny Kienlein</c:v>
                </c:pt>
              </c:strCache>
            </c:strRef>
          </c:cat>
          <c:val>
            <c:numRef>
              <c:f>'Top 5'!$E$12:$E$16</c:f>
              <c:numCache>
                <c:formatCode>"$"#,##0</c:formatCode>
                <c:ptCount val="5"/>
                <c:pt idx="0">
                  <c:v>38.849999999999994</c:v>
                </c:pt>
                <c:pt idx="1">
                  <c:v>40.5</c:v>
                </c:pt>
                <c:pt idx="2">
                  <c:v>41.25</c:v>
                </c:pt>
                <c:pt idx="3">
                  <c:v>44.55</c:v>
                </c:pt>
                <c:pt idx="4">
                  <c:v>52.38</c:v>
                </c:pt>
              </c:numCache>
            </c:numRef>
          </c:val>
          <c:extLst>
            <c:ext xmlns:c16="http://schemas.microsoft.com/office/drawing/2014/chart" uri="{C3380CC4-5D6E-409C-BE32-E72D297353CC}">
              <c16:uniqueId val="{00000000-24EB-401F-8692-8DE24CDEE1CA}"/>
            </c:ext>
          </c:extLst>
        </c:ser>
        <c:dLbls>
          <c:dLblPos val="outEnd"/>
          <c:showLegendKey val="0"/>
          <c:showVal val="1"/>
          <c:showCatName val="0"/>
          <c:showSerName val="0"/>
          <c:showPercent val="0"/>
          <c:showBubbleSize val="0"/>
        </c:dLbls>
        <c:gapWidth val="182"/>
        <c:axId val="1446005599"/>
        <c:axId val="1446011839"/>
      </c:barChart>
      <c:catAx>
        <c:axId val="144600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11839"/>
        <c:crosses val="autoZero"/>
        <c:auto val="1"/>
        <c:lblAlgn val="ctr"/>
        <c:lblOffset val="100"/>
        <c:noMultiLvlLbl val="0"/>
      </c:catAx>
      <c:valAx>
        <c:axId val="1446011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0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[coffeeOrdersRaw_Data.xlsx]Total sales!TOTAL</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50"/>
            </a:solidFill>
            <a:round/>
          </a:ln>
          <a:effectLst/>
        </c:spPr>
      </c:pivotFmt>
    </c:pivotFmts>
    <c:plotArea>
      <c:layout/>
      <c:lineChart>
        <c:grouping val="standard"/>
        <c:varyColors val="0"/>
        <c:ser>
          <c:idx val="0"/>
          <c:order val="0"/>
          <c:tx>
            <c:strRef>
              <c:f>'Total sales'!$C$4:$C$5</c:f>
              <c:strCache>
                <c:ptCount val="1"/>
                <c:pt idx="0">
                  <c:v>Arabic</c:v>
                </c:pt>
              </c:strCache>
            </c:strRef>
          </c:tx>
          <c:spPr>
            <a:ln w="28575" cap="rnd">
              <a:solidFill>
                <a:schemeClr val="accent1"/>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sales'!$C$6:$C$13</c:f>
              <c:numCache>
                <c:formatCode>"$"#,##0</c:formatCode>
                <c:ptCount val="8"/>
                <c:pt idx="0">
                  <c:v>11.94</c:v>
                </c:pt>
                <c:pt idx="6">
                  <c:v>40.5</c:v>
                </c:pt>
                <c:pt idx="7">
                  <c:v>68.699999999999989</c:v>
                </c:pt>
              </c:numCache>
            </c:numRef>
          </c:val>
          <c:smooth val="0"/>
          <c:extLst>
            <c:ext xmlns:c16="http://schemas.microsoft.com/office/drawing/2014/chart" uri="{C3380CC4-5D6E-409C-BE32-E72D297353CC}">
              <c16:uniqueId val="{00000000-A792-48F0-AC0B-09A63ECE0C6C}"/>
            </c:ext>
          </c:extLst>
        </c:ser>
        <c:ser>
          <c:idx val="1"/>
          <c:order val="1"/>
          <c:tx>
            <c:strRef>
              <c:f>'Total sales'!$D$4:$D$5</c:f>
              <c:strCache>
                <c:ptCount val="1"/>
                <c:pt idx="0">
                  <c:v>Excelsa</c:v>
                </c:pt>
              </c:strCache>
            </c:strRef>
          </c:tx>
          <c:spPr>
            <a:ln w="28575" cap="rnd">
              <a:solidFill>
                <a:schemeClr val="accent6"/>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sales'!$D$6:$D$13</c:f>
              <c:numCache>
                <c:formatCode>"$"#,##0</c:formatCode>
                <c:ptCount val="8"/>
                <c:pt idx="3">
                  <c:v>29.16</c:v>
                </c:pt>
                <c:pt idx="4">
                  <c:v>21.87</c:v>
                </c:pt>
                <c:pt idx="5">
                  <c:v>83.88</c:v>
                </c:pt>
                <c:pt idx="6">
                  <c:v>36.450000000000003</c:v>
                </c:pt>
                <c:pt idx="7">
                  <c:v>55.83</c:v>
                </c:pt>
              </c:numCache>
            </c:numRef>
          </c:val>
          <c:smooth val="0"/>
          <c:extLst>
            <c:ext xmlns:c16="http://schemas.microsoft.com/office/drawing/2014/chart" uri="{C3380CC4-5D6E-409C-BE32-E72D297353CC}">
              <c16:uniqueId val="{00000001-A792-48F0-AC0B-09A63ECE0C6C}"/>
            </c:ext>
          </c:extLst>
        </c:ser>
        <c:ser>
          <c:idx val="2"/>
          <c:order val="2"/>
          <c:tx>
            <c:strRef>
              <c:f>'Total sales'!$E$4:$E$5</c:f>
              <c:strCache>
                <c:ptCount val="1"/>
                <c:pt idx="0">
                  <c:v>Librica</c:v>
                </c:pt>
              </c:strCache>
            </c:strRef>
          </c:tx>
          <c:spPr>
            <a:ln w="28575" cap="rnd">
              <a:solidFill>
                <a:srgbClr val="FF0000"/>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sales'!$E$6:$E$13</c:f>
              <c:numCache>
                <c:formatCode>"$"#,##0</c:formatCode>
                <c:ptCount val="8"/>
                <c:pt idx="0">
                  <c:v>52.38</c:v>
                </c:pt>
                <c:pt idx="3">
                  <c:v>38.04</c:v>
                </c:pt>
              </c:numCache>
            </c:numRef>
          </c:val>
          <c:smooth val="0"/>
          <c:extLst>
            <c:ext xmlns:c16="http://schemas.microsoft.com/office/drawing/2014/chart" uri="{C3380CC4-5D6E-409C-BE32-E72D297353CC}">
              <c16:uniqueId val="{00000000-D5B3-4530-B471-E4C45BE60954}"/>
            </c:ext>
          </c:extLst>
        </c:ser>
        <c:ser>
          <c:idx val="3"/>
          <c:order val="3"/>
          <c:tx>
            <c:strRef>
              <c:f>'Total sales'!$F$4:$F$5</c:f>
              <c:strCache>
                <c:ptCount val="1"/>
                <c:pt idx="0">
                  <c:v>Robusta</c:v>
                </c:pt>
              </c:strCache>
            </c:strRef>
          </c:tx>
          <c:spPr>
            <a:ln w="28575" cap="rnd">
              <a:solidFill>
                <a:srgbClr val="FFFF00"/>
              </a:solidFill>
              <a:round/>
            </a:ln>
            <a:effectLst/>
          </c:spPr>
          <c:marker>
            <c:symbol val="none"/>
          </c:marker>
          <c:cat>
            <c:multiLvlStrRef>
              <c:f>'Total sales'!$A$6:$B$13</c:f>
              <c:multiLvlStrCache>
                <c:ptCount val="8"/>
                <c:lvl>
                  <c:pt idx="0">
                    <c:v>Jul</c:v>
                  </c:pt>
                  <c:pt idx="1">
                    <c:v>Aug</c:v>
                  </c:pt>
                  <c:pt idx="2">
                    <c:v>Sep</c:v>
                  </c:pt>
                  <c:pt idx="3">
                    <c:v>Oct</c:v>
                  </c:pt>
                  <c:pt idx="4">
                    <c:v>Nov</c:v>
                  </c:pt>
                  <c:pt idx="5">
                    <c:v>Dec</c:v>
                  </c:pt>
                  <c:pt idx="6">
                    <c:v>Jan</c:v>
                  </c:pt>
                  <c:pt idx="7">
                    <c:v>Feb</c:v>
                  </c:pt>
                </c:lvl>
                <c:lvl>
                  <c:pt idx="0">
                    <c:v>2020</c:v>
                  </c:pt>
                  <c:pt idx="6">
                    <c:v>2021</c:v>
                  </c:pt>
                </c:lvl>
              </c:multiLvlStrCache>
            </c:multiLvlStrRef>
          </c:cat>
          <c:val>
            <c:numRef>
              <c:f>'Total sales'!$F$6:$F$13</c:f>
              <c:numCache>
                <c:formatCode>"$"#,##0</c:formatCode>
                <c:ptCount val="8"/>
                <c:pt idx="1">
                  <c:v>11.94</c:v>
                </c:pt>
                <c:pt idx="2">
                  <c:v>5.97</c:v>
                </c:pt>
                <c:pt idx="6">
                  <c:v>23.88</c:v>
                </c:pt>
              </c:numCache>
            </c:numRef>
          </c:val>
          <c:smooth val="0"/>
          <c:extLst>
            <c:ext xmlns:c16="http://schemas.microsoft.com/office/drawing/2014/chart" uri="{C3380CC4-5D6E-409C-BE32-E72D297353CC}">
              <c16:uniqueId val="{00000001-2A66-4640-8229-5FF626BC52F3}"/>
            </c:ext>
          </c:extLst>
        </c:ser>
        <c:dLbls>
          <c:showLegendKey val="0"/>
          <c:showVal val="0"/>
          <c:showCatName val="0"/>
          <c:showSerName val="0"/>
          <c:showPercent val="0"/>
          <c:showBubbleSize val="0"/>
        </c:dLbls>
        <c:smooth val="0"/>
        <c:axId val="828539935"/>
        <c:axId val="828532255"/>
      </c:lineChart>
      <c:catAx>
        <c:axId val="828539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532255"/>
        <c:crosses val="autoZero"/>
        <c:auto val="1"/>
        <c:lblAlgn val="ctr"/>
        <c:lblOffset val="100"/>
        <c:noMultiLvlLbl val="0"/>
      </c:catAx>
      <c:valAx>
        <c:axId val="828532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layout>
            <c:manualLayout>
              <c:xMode val="edge"/>
              <c:yMode val="edge"/>
              <c:x val="1.6666666666666666E-2"/>
              <c:y val="0.39025116652085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853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[coffeeOrdersRaw_Data.xlsx]Country BarChart!TOTAL</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BarChart'!$E$11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BarChart'!$D$12:$D$14</c:f>
              <c:strCache>
                <c:ptCount val="3"/>
                <c:pt idx="0">
                  <c:v>Ireland</c:v>
                </c:pt>
                <c:pt idx="1">
                  <c:v>United Kingdom</c:v>
                </c:pt>
                <c:pt idx="2">
                  <c:v>United States</c:v>
                </c:pt>
              </c:strCache>
            </c:strRef>
          </c:cat>
          <c:val>
            <c:numRef>
              <c:f>'Country BarChart'!$E$12:$E$14</c:f>
              <c:numCache>
                <c:formatCode>"$"#,##0</c:formatCode>
                <c:ptCount val="3"/>
                <c:pt idx="0">
                  <c:v>64.320000000000007</c:v>
                </c:pt>
                <c:pt idx="1">
                  <c:v>74.399999999999991</c:v>
                </c:pt>
                <c:pt idx="2">
                  <c:v>341.82</c:v>
                </c:pt>
              </c:numCache>
            </c:numRef>
          </c:val>
          <c:extLst>
            <c:ext xmlns:c16="http://schemas.microsoft.com/office/drawing/2014/chart" uri="{C3380CC4-5D6E-409C-BE32-E72D297353CC}">
              <c16:uniqueId val="{00000000-D9B4-4AC8-87D3-DFF5A3D90EC5}"/>
            </c:ext>
          </c:extLst>
        </c:ser>
        <c:dLbls>
          <c:dLblPos val="outEnd"/>
          <c:showLegendKey val="0"/>
          <c:showVal val="1"/>
          <c:showCatName val="0"/>
          <c:showSerName val="0"/>
          <c:showPercent val="0"/>
          <c:showBubbleSize val="0"/>
        </c:dLbls>
        <c:gapWidth val="182"/>
        <c:axId val="1446005599"/>
        <c:axId val="1446011839"/>
      </c:barChart>
      <c:catAx>
        <c:axId val="144600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11839"/>
        <c:crosses val="autoZero"/>
        <c:auto val="1"/>
        <c:lblAlgn val="ctr"/>
        <c:lblOffset val="100"/>
        <c:noMultiLvlLbl val="0"/>
      </c:catAx>
      <c:valAx>
        <c:axId val="1446011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0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[coffeeOrdersRaw_Data.xlsx]Top 5!TOTAL</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5'!$E$11</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5'!$D$12:$D$16</c:f>
              <c:strCache>
                <c:ptCount val="5"/>
                <c:pt idx="0">
                  <c:v>Blancha McAmish</c:v>
                </c:pt>
                <c:pt idx="1">
                  <c:v>Orbadiah Duny</c:v>
                </c:pt>
                <c:pt idx="2">
                  <c:v>Christopher Grieveson</c:v>
                </c:pt>
                <c:pt idx="3">
                  <c:v>Carney Clemencet</c:v>
                </c:pt>
                <c:pt idx="4">
                  <c:v>Franny Kienlein</c:v>
                </c:pt>
              </c:strCache>
            </c:strRef>
          </c:cat>
          <c:val>
            <c:numRef>
              <c:f>'Top 5'!$E$12:$E$16</c:f>
              <c:numCache>
                <c:formatCode>"$"#,##0</c:formatCode>
                <c:ptCount val="5"/>
                <c:pt idx="0">
                  <c:v>38.849999999999994</c:v>
                </c:pt>
                <c:pt idx="1">
                  <c:v>40.5</c:v>
                </c:pt>
                <c:pt idx="2">
                  <c:v>41.25</c:v>
                </c:pt>
                <c:pt idx="3">
                  <c:v>44.55</c:v>
                </c:pt>
                <c:pt idx="4">
                  <c:v>52.38</c:v>
                </c:pt>
              </c:numCache>
            </c:numRef>
          </c:val>
          <c:extLst>
            <c:ext xmlns:c16="http://schemas.microsoft.com/office/drawing/2014/chart" uri="{C3380CC4-5D6E-409C-BE32-E72D297353CC}">
              <c16:uniqueId val="{00000000-3419-4525-A71A-FE54DC8D3D58}"/>
            </c:ext>
          </c:extLst>
        </c:ser>
        <c:dLbls>
          <c:dLblPos val="outEnd"/>
          <c:showLegendKey val="0"/>
          <c:showVal val="1"/>
          <c:showCatName val="0"/>
          <c:showSerName val="0"/>
          <c:showPercent val="0"/>
          <c:showBubbleSize val="0"/>
        </c:dLbls>
        <c:gapWidth val="182"/>
        <c:axId val="1446005599"/>
        <c:axId val="1446011839"/>
      </c:barChart>
      <c:catAx>
        <c:axId val="144600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11839"/>
        <c:crosses val="autoZero"/>
        <c:auto val="1"/>
        <c:lblAlgn val="ctr"/>
        <c:lblOffset val="100"/>
        <c:noMultiLvlLbl val="0"/>
      </c:catAx>
      <c:valAx>
        <c:axId val="14460118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00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6E6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99382</xdr:colOff>
      <xdr:row>0</xdr:row>
      <xdr:rowOff>0</xdr:rowOff>
    </xdr:from>
    <xdr:to>
      <xdr:col>32</xdr:col>
      <xdr:colOff>0</xdr:colOff>
      <xdr:row>5</xdr:row>
      <xdr:rowOff>45720</xdr:rowOff>
    </xdr:to>
    <xdr:sp macro="" textlink="">
      <xdr:nvSpPr>
        <xdr:cNvPr id="2" name="Rectangle 1">
          <a:extLst>
            <a:ext uri="{FF2B5EF4-FFF2-40B4-BE49-F238E27FC236}">
              <a16:creationId xmlns:a16="http://schemas.microsoft.com/office/drawing/2014/main" id="{10C8945A-E33B-7F2B-F7D1-199737B7AA48}"/>
            </a:ext>
          </a:extLst>
        </xdr:cNvPr>
        <xdr:cNvSpPr/>
      </xdr:nvSpPr>
      <xdr:spPr>
        <a:xfrm>
          <a:off x="5605100" y="0"/>
          <a:ext cx="13970787" cy="957974"/>
        </a:xfrm>
        <a:prstGeom prst="rect">
          <a:avLst/>
        </a:prstGeom>
        <a:solidFill>
          <a:srgbClr val="4E34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COFFEE SALES DASHBOARD</a:t>
          </a:r>
        </a:p>
      </xdr:txBody>
    </xdr:sp>
    <xdr:clientData/>
  </xdr:twoCellAnchor>
  <xdr:twoCellAnchor editAs="oneCell">
    <xdr:from>
      <xdr:col>9</xdr:col>
      <xdr:colOff>128787</xdr:colOff>
      <xdr:row>5</xdr:row>
      <xdr:rowOff>53661</xdr:rowOff>
    </xdr:from>
    <xdr:to>
      <xdr:col>25</xdr:col>
      <xdr:colOff>601014</xdr:colOff>
      <xdr:row>13</xdr:row>
      <xdr:rowOff>118056</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A007EA8B-0C37-4EFD-B3BE-0129A9497BF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5639680" y="938125"/>
              <a:ext cx="10269370" cy="14795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590283</xdr:colOff>
      <xdr:row>8</xdr:row>
      <xdr:rowOff>136559</xdr:rowOff>
    </xdr:from>
    <xdr:to>
      <xdr:col>29</xdr:col>
      <xdr:colOff>8327</xdr:colOff>
      <xdr:row>13</xdr:row>
      <xdr:rowOff>96592</xdr:rowOff>
    </xdr:to>
    <mc:AlternateContent xmlns:mc="http://schemas.openxmlformats.org/markup-compatibility/2006" xmlns:a14="http://schemas.microsoft.com/office/drawing/2010/main">
      <mc:Choice Requires="a14">
        <xdr:graphicFrame macro="">
          <xdr:nvGraphicFramePr>
            <xdr:cNvPr id="4" name="Size 1">
              <a:extLst>
                <a:ext uri="{FF2B5EF4-FFF2-40B4-BE49-F238E27FC236}">
                  <a16:creationId xmlns:a16="http://schemas.microsoft.com/office/drawing/2014/main" id="{0E36E44D-897C-4C70-84E7-4415EE5886A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5898319" y="1551702"/>
              <a:ext cx="1867329" cy="844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9606</xdr:colOff>
      <xdr:row>5</xdr:row>
      <xdr:rowOff>63765</xdr:rowOff>
    </xdr:from>
    <xdr:to>
      <xdr:col>32</xdr:col>
      <xdr:colOff>10732</xdr:colOff>
      <xdr:row>8</xdr:row>
      <xdr:rowOff>118056</xdr:rowOff>
    </xdr:to>
    <mc:AlternateContent xmlns:mc="http://schemas.openxmlformats.org/markup-compatibility/2006" xmlns:a14="http://schemas.microsoft.com/office/drawing/2010/main">
      <mc:Choice Requires="a14">
        <xdr:graphicFrame macro="">
          <xdr:nvGraphicFramePr>
            <xdr:cNvPr id="5" name="Roast Type full name 1">
              <a:extLst>
                <a:ext uri="{FF2B5EF4-FFF2-40B4-BE49-F238E27FC236}">
                  <a16:creationId xmlns:a16="http://schemas.microsoft.com/office/drawing/2014/main" id="{3B4BC93D-CEA3-4A79-8B94-604C6BDDBA1C}"/>
                </a:ext>
              </a:extLst>
            </xdr:cNvPr>
            <xdr:cNvGraphicFramePr/>
          </xdr:nvGraphicFramePr>
          <xdr:xfrm>
            <a:off x="0" y="0"/>
            <a:ext cx="0" cy="0"/>
          </xdr:xfrm>
          <a:graphic>
            <a:graphicData uri="http://schemas.microsoft.com/office/drawing/2010/slicer">
              <sle:slicer xmlns:sle="http://schemas.microsoft.com/office/drawing/2010/slicer" name="Roast Type full name 1"/>
            </a:graphicData>
          </a:graphic>
        </xdr:graphicFrame>
      </mc:Choice>
      <mc:Fallback xmlns="">
        <xdr:sp macro="" textlink="">
          <xdr:nvSpPr>
            <xdr:cNvPr id="0" name=""/>
            <xdr:cNvSpPr>
              <a:spLocks noTextEdit="1"/>
            </xdr:cNvSpPr>
          </xdr:nvSpPr>
          <xdr:spPr>
            <a:xfrm>
              <a:off x="15929963" y="948229"/>
              <a:ext cx="3675055" cy="584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15120</xdr:colOff>
      <xdr:row>8</xdr:row>
      <xdr:rowOff>134389</xdr:rowOff>
    </xdr:from>
    <xdr:to>
      <xdr:col>32</xdr:col>
      <xdr:colOff>10733</xdr:colOff>
      <xdr:row>13</xdr:row>
      <xdr:rowOff>107325</xdr:rowOff>
    </xdr:to>
    <mc:AlternateContent xmlns:mc="http://schemas.openxmlformats.org/markup-compatibility/2006" xmlns:a14="http://schemas.microsoft.com/office/drawing/2010/main">
      <mc:Choice Requires="a14">
        <xdr:graphicFrame macro="">
          <xdr:nvGraphicFramePr>
            <xdr:cNvPr id="6" name="Royalty card 1">
              <a:extLst>
                <a:ext uri="{FF2B5EF4-FFF2-40B4-BE49-F238E27FC236}">
                  <a16:creationId xmlns:a16="http://schemas.microsoft.com/office/drawing/2014/main" id="{E8261C3C-0640-40FA-B5AB-D3F113BE1F6C}"/>
                </a:ext>
              </a:extLst>
            </xdr:cNvPr>
            <xdr:cNvGraphicFramePr/>
          </xdr:nvGraphicFramePr>
          <xdr:xfrm>
            <a:off x="0" y="0"/>
            <a:ext cx="0" cy="0"/>
          </xdr:xfrm>
          <a:graphic>
            <a:graphicData uri="http://schemas.microsoft.com/office/drawing/2010/slicer">
              <sle:slicer xmlns:sle="http://schemas.microsoft.com/office/drawing/2010/slicer" name="Royalty card 1"/>
            </a:graphicData>
          </a:graphic>
        </xdr:graphicFrame>
      </mc:Choice>
      <mc:Fallback xmlns="">
        <xdr:sp macro="" textlink="">
          <xdr:nvSpPr>
            <xdr:cNvPr id="0" name=""/>
            <xdr:cNvSpPr>
              <a:spLocks noTextEdit="1"/>
            </xdr:cNvSpPr>
          </xdr:nvSpPr>
          <xdr:spPr>
            <a:xfrm>
              <a:off x="17772441" y="1549532"/>
              <a:ext cx="1832578" cy="8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119742</xdr:colOff>
      <xdr:row>13</xdr:row>
      <xdr:rowOff>119744</xdr:rowOff>
    </xdr:from>
    <xdr:to>
      <xdr:col>25</xdr:col>
      <xdr:colOff>429295</xdr:colOff>
      <xdr:row>40</xdr:row>
      <xdr:rowOff>64395</xdr:rowOff>
    </xdr:to>
    <xdr:graphicFrame macro="">
      <xdr:nvGraphicFramePr>
        <xdr:cNvPr id="7" name="Chart 6">
          <a:extLst>
            <a:ext uri="{FF2B5EF4-FFF2-40B4-BE49-F238E27FC236}">
              <a16:creationId xmlns:a16="http://schemas.microsoft.com/office/drawing/2014/main" id="{4C46917D-A554-44FD-9CA2-76BE72E69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407831</xdr:colOff>
      <xdr:row>13</xdr:row>
      <xdr:rowOff>108857</xdr:rowOff>
    </xdr:from>
    <xdr:to>
      <xdr:col>32</xdr:col>
      <xdr:colOff>0</xdr:colOff>
      <xdr:row>27</xdr:row>
      <xdr:rowOff>171718</xdr:rowOff>
    </xdr:to>
    <xdr:graphicFrame macro="">
      <xdr:nvGraphicFramePr>
        <xdr:cNvPr id="8" name="Chart 7">
          <a:extLst>
            <a:ext uri="{FF2B5EF4-FFF2-40B4-BE49-F238E27FC236}">
              <a16:creationId xmlns:a16="http://schemas.microsoft.com/office/drawing/2014/main" id="{5A597621-1A04-41C7-AB23-F96319A98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397099</xdr:colOff>
      <xdr:row>27</xdr:row>
      <xdr:rowOff>182450</xdr:rowOff>
    </xdr:from>
    <xdr:to>
      <xdr:col>32</xdr:col>
      <xdr:colOff>21465</xdr:colOff>
      <xdr:row>40</xdr:row>
      <xdr:rowOff>75126</xdr:rowOff>
    </xdr:to>
    <xdr:graphicFrame macro="">
      <xdr:nvGraphicFramePr>
        <xdr:cNvPr id="9" name="Chart 8">
          <a:extLst>
            <a:ext uri="{FF2B5EF4-FFF2-40B4-BE49-F238E27FC236}">
              <a16:creationId xmlns:a16="http://schemas.microsoft.com/office/drawing/2014/main" id="{5F70C06C-8136-4B49-9375-4861BC8ED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42810</xdr:colOff>
      <xdr:row>8</xdr:row>
      <xdr:rowOff>47603</xdr:rowOff>
    </xdr:from>
    <xdr:to>
      <xdr:col>22</xdr:col>
      <xdr:colOff>462338</xdr:colOff>
      <xdr:row>24</xdr:row>
      <xdr:rowOff>169523</xdr:rowOff>
    </xdr:to>
    <xdr:graphicFrame macro="">
      <xdr:nvGraphicFramePr>
        <xdr:cNvPr id="3" name="Chart 2">
          <a:extLst>
            <a:ext uri="{FF2B5EF4-FFF2-40B4-BE49-F238E27FC236}">
              <a16:creationId xmlns:a16="http://schemas.microsoft.com/office/drawing/2014/main" id="{12AB48C9-FFDE-BAE6-86C7-317F3FE1B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53340</xdr:colOff>
      <xdr:row>0</xdr:row>
      <xdr:rowOff>7620</xdr:rowOff>
    </xdr:from>
    <xdr:to>
      <xdr:col>16</xdr:col>
      <xdr:colOff>558338</xdr:colOff>
      <xdr:row>8</xdr:row>
      <xdr:rowOff>30480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9E3C0465-E0D3-017F-A81A-E5B390D6F79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287885" y="7620"/>
              <a:ext cx="6566362" cy="15468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505916</xdr:colOff>
      <xdr:row>3</xdr:row>
      <xdr:rowOff>111304</xdr:rowOff>
    </xdr:from>
    <xdr:to>
      <xdr:col>19</xdr:col>
      <xdr:colOff>511053</xdr:colOff>
      <xdr:row>8</xdr:row>
      <xdr:rowOff>51371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6BE9BC2D-8D53-74D6-DD01-8703A596156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801825" y="682804"/>
              <a:ext cx="1823546" cy="892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513708</xdr:colOff>
      <xdr:row>0</xdr:row>
      <xdr:rowOff>0</xdr:rowOff>
    </xdr:from>
    <xdr:to>
      <xdr:col>22</xdr:col>
      <xdr:colOff>462337</xdr:colOff>
      <xdr:row>3</xdr:row>
      <xdr:rowOff>102742</xdr:rowOff>
    </xdr:to>
    <mc:AlternateContent xmlns:mc="http://schemas.openxmlformats.org/markup-compatibility/2006" xmlns:a14="http://schemas.microsoft.com/office/drawing/2010/main">
      <mc:Choice Requires="a14">
        <xdr:graphicFrame macro="">
          <xdr:nvGraphicFramePr>
            <xdr:cNvPr id="5" name="Roast Type full name">
              <a:extLst>
                <a:ext uri="{FF2B5EF4-FFF2-40B4-BE49-F238E27FC236}">
                  <a16:creationId xmlns:a16="http://schemas.microsoft.com/office/drawing/2014/main" id="{BD4D506F-99DA-357F-7CA1-F044725B1C77}"/>
                </a:ext>
              </a:extLst>
            </xdr:cNvPr>
            <xdr:cNvGraphicFramePr/>
          </xdr:nvGraphicFramePr>
          <xdr:xfrm>
            <a:off x="0" y="0"/>
            <a:ext cx="0" cy="0"/>
          </xdr:xfrm>
          <a:graphic>
            <a:graphicData uri="http://schemas.microsoft.com/office/drawing/2010/slicer">
              <sle:slicer xmlns:sle="http://schemas.microsoft.com/office/drawing/2010/slicer" name="Roast Type full name"/>
            </a:graphicData>
          </a:graphic>
        </xdr:graphicFrame>
      </mc:Choice>
      <mc:Fallback xmlns="">
        <xdr:sp macro="" textlink="">
          <xdr:nvSpPr>
            <xdr:cNvPr id="0" name=""/>
            <xdr:cNvSpPr>
              <a:spLocks noTextEdit="1"/>
            </xdr:cNvSpPr>
          </xdr:nvSpPr>
          <xdr:spPr>
            <a:xfrm>
              <a:off x="12809617" y="0"/>
              <a:ext cx="3585447" cy="674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515677</xdr:colOff>
      <xdr:row>3</xdr:row>
      <xdr:rowOff>85618</xdr:rowOff>
    </xdr:from>
    <xdr:to>
      <xdr:col>22</xdr:col>
      <xdr:colOff>462337</xdr:colOff>
      <xdr:row>8</xdr:row>
      <xdr:rowOff>59933</xdr:rowOff>
    </xdr:to>
    <mc:AlternateContent xmlns:mc="http://schemas.openxmlformats.org/markup-compatibility/2006" xmlns:a14="http://schemas.microsoft.com/office/drawing/2010/main">
      <mc:Choice Requires="a14">
        <xdr:graphicFrame macro="">
          <xdr:nvGraphicFramePr>
            <xdr:cNvPr id="6" name="Royalty card">
              <a:extLst>
                <a:ext uri="{FF2B5EF4-FFF2-40B4-BE49-F238E27FC236}">
                  <a16:creationId xmlns:a16="http://schemas.microsoft.com/office/drawing/2014/main" id="{D91D8DF8-6DD5-665F-D21E-803122F122DC}"/>
                </a:ext>
              </a:extLst>
            </xdr:cNvPr>
            <xdr:cNvGraphicFramePr/>
          </xdr:nvGraphicFramePr>
          <xdr:xfrm>
            <a:off x="0" y="0"/>
            <a:ext cx="0" cy="0"/>
          </xdr:xfrm>
          <a:graphic>
            <a:graphicData uri="http://schemas.microsoft.com/office/drawing/2010/slicer">
              <sle:slicer xmlns:sle="http://schemas.microsoft.com/office/drawing/2010/slicer" name="Royalty card"/>
            </a:graphicData>
          </a:graphic>
        </xdr:graphicFrame>
      </mc:Choice>
      <mc:Fallback xmlns="">
        <xdr:sp macro="" textlink="">
          <xdr:nvSpPr>
            <xdr:cNvPr id="0" name=""/>
            <xdr:cNvSpPr>
              <a:spLocks noTextEdit="1"/>
            </xdr:cNvSpPr>
          </xdr:nvSpPr>
          <xdr:spPr>
            <a:xfrm>
              <a:off x="14629995" y="657118"/>
              <a:ext cx="1765069" cy="92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17319</xdr:colOff>
      <xdr:row>25</xdr:row>
      <xdr:rowOff>0</xdr:rowOff>
    </xdr:from>
    <xdr:to>
      <xdr:col>22</xdr:col>
      <xdr:colOff>467591</xdr:colOff>
      <xdr:row>28</xdr:row>
      <xdr:rowOff>51955</xdr:rowOff>
    </xdr:to>
    <mc:AlternateContent xmlns:mc="http://schemas.openxmlformats.org/markup-compatibility/2006" xmlns:a14="http://schemas.microsoft.com/office/drawing/2010/main">
      <mc:Choice Requires="a14">
        <xdr:graphicFrame macro="">
          <xdr:nvGraphicFramePr>
            <xdr:cNvPr id="11" name="Royalty card 2">
              <a:extLst>
                <a:ext uri="{FF2B5EF4-FFF2-40B4-BE49-F238E27FC236}">
                  <a16:creationId xmlns:a16="http://schemas.microsoft.com/office/drawing/2014/main" id="{E95B2DB5-6A67-F5CF-CB84-01FA7450E995}"/>
                </a:ext>
              </a:extLst>
            </xdr:cNvPr>
            <xdr:cNvGraphicFramePr/>
          </xdr:nvGraphicFramePr>
          <xdr:xfrm>
            <a:off x="0" y="0"/>
            <a:ext cx="0" cy="0"/>
          </xdr:xfrm>
          <a:graphic>
            <a:graphicData uri="http://schemas.microsoft.com/office/drawing/2010/slicer">
              <sle:slicer xmlns:sle="http://schemas.microsoft.com/office/drawing/2010/slicer" name="Royalty card 2"/>
            </a:graphicData>
          </a:graphic>
        </xdr:graphicFrame>
      </mc:Choice>
      <mc:Fallback xmlns="">
        <xdr:sp macro="" textlink="">
          <xdr:nvSpPr>
            <xdr:cNvPr id="0" name=""/>
            <xdr:cNvSpPr>
              <a:spLocks noTextEdit="1"/>
            </xdr:cNvSpPr>
          </xdr:nvSpPr>
          <xdr:spPr>
            <a:xfrm>
              <a:off x="6251864" y="4762500"/>
              <a:ext cx="10148454" cy="623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4279</xdr:colOff>
      <xdr:row>9</xdr:row>
      <xdr:rowOff>165243</xdr:rowOff>
    </xdr:from>
    <xdr:to>
      <xdr:col>14</xdr:col>
      <xdr:colOff>94180</xdr:colOff>
      <xdr:row>25</xdr:row>
      <xdr:rowOff>31679</xdr:rowOff>
    </xdr:to>
    <xdr:graphicFrame macro="">
      <xdr:nvGraphicFramePr>
        <xdr:cNvPr id="7" name="Chart 6">
          <a:extLst>
            <a:ext uri="{FF2B5EF4-FFF2-40B4-BE49-F238E27FC236}">
              <a16:creationId xmlns:a16="http://schemas.microsoft.com/office/drawing/2014/main" id="{B0A6CA88-37E6-80E7-E4DB-773E2C647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783402</xdr:colOff>
      <xdr:row>9</xdr:row>
      <xdr:rowOff>165243</xdr:rowOff>
    </xdr:from>
    <xdr:to>
      <xdr:col>14</xdr:col>
      <xdr:colOff>77055</xdr:colOff>
      <xdr:row>25</xdr:row>
      <xdr:rowOff>31679</xdr:rowOff>
    </xdr:to>
    <xdr:graphicFrame macro="">
      <xdr:nvGraphicFramePr>
        <xdr:cNvPr id="2" name="Chart 1">
          <a:extLst>
            <a:ext uri="{FF2B5EF4-FFF2-40B4-BE49-F238E27FC236}">
              <a16:creationId xmlns:a16="http://schemas.microsoft.com/office/drawing/2014/main" id="{65EC11C3-1478-485F-8F87-6EED53559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oda" refreshedDate="46099.693893518517" createdVersion="8" refreshedVersion="8" minRefreshableVersion="3" recordCount="1000" xr:uid="{19166EC0-799A-4D43-930F-139C2B07CD5C}">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 Coffee Type full name" numFmtId="0">
      <sharedItems count="4">
        <s v="Robusta"/>
        <s v="Excelsa"/>
        <s v="Arabic"/>
        <s v="Librica"/>
      </sharedItems>
    </cacheField>
    <cacheField name="Roast Type full name" numFmtId="0">
      <sharedItems count="3">
        <s v="Medium"/>
        <s v="Large"/>
        <s v="Dark"/>
      </sharedItems>
    </cacheField>
    <cacheField name="R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53741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BD993-0EB6-405E-95D2-6C6401016BD5}" name="TOTAL"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4:F13"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8">
    <i>
      <x v="2"/>
      <x v="7"/>
    </i>
    <i r="1">
      <x v="8"/>
    </i>
    <i r="1">
      <x v="9"/>
    </i>
    <i r="1">
      <x v="10"/>
    </i>
    <i r="1">
      <x v="11"/>
    </i>
    <i r="1">
      <x v="12"/>
    </i>
    <i>
      <x v="3"/>
      <x v="1"/>
    </i>
    <i r="1">
      <x v="2"/>
    </i>
  </rowItems>
  <colFields count="1">
    <field x="13"/>
  </colFields>
  <colItems count="4">
    <i>
      <x/>
    </i>
    <i>
      <x v="1"/>
    </i>
    <i>
      <x v="2"/>
    </i>
    <i>
      <x v="3"/>
    </i>
  </colItems>
  <dataFields count="1">
    <dataField name="Sum of Sales" fld="12" baseField="15" baseItem="3" numFmtId="168"/>
  </dataFields>
  <chartFormats count="13">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2"/>
          </reference>
        </references>
      </pivotArea>
    </chartFormat>
    <chartFormat chart="7" format="3" series="1">
      <pivotArea type="data" outline="0" fieldPosition="0">
        <references count="2">
          <reference field="4294967294" count="1" selected="0">
            <x v="0"/>
          </reference>
          <reference field="13" count="1" selected="0">
            <x v="3"/>
          </reference>
        </references>
      </pivotArea>
    </chartFormat>
    <chartFormat chart="7" format="4">
      <pivotArea type="data" outline="0" fieldPosition="0">
        <references count="4">
          <reference field="4294967294" count="1" selected="0">
            <x v="0"/>
          </reference>
          <reference field="13" count="1" selected="0">
            <x v="1"/>
          </reference>
          <reference field="16" count="1" selected="0">
            <x v="5"/>
          </reference>
          <reference field="17" count="1" selected="0">
            <x v="2"/>
          </reference>
        </references>
      </pivotArea>
    </chartFormat>
    <chartFormat chart="13" format="9" series="1">
      <pivotArea type="data" outline="0" fieldPosition="0">
        <references count="2">
          <reference field="4294967294" count="1" selected="0">
            <x v="0"/>
          </reference>
          <reference field="13" count="1" selected="0">
            <x v="0"/>
          </reference>
        </references>
      </pivotArea>
    </chartFormat>
    <chartFormat chart="13" format="10" series="1">
      <pivotArea type="data" outline="0" fieldPosition="0">
        <references count="2">
          <reference field="4294967294" count="1" selected="0">
            <x v="0"/>
          </reference>
          <reference field="13" count="1" selected="0">
            <x v="1"/>
          </reference>
        </references>
      </pivotArea>
    </chartFormat>
    <chartFormat chart="13" format="11" series="1">
      <pivotArea type="data" outline="0" fieldPosition="0">
        <references count="2">
          <reference field="4294967294" count="1" selected="0">
            <x v="0"/>
          </reference>
          <reference field="13" count="1" selected="0">
            <x v="2"/>
          </reference>
        </references>
      </pivotArea>
    </chartFormat>
    <chartFormat chart="13"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9" name="Order Date">
      <autoFilter ref="A1">
        <filterColumn colId="0">
          <customFilters and="1">
            <customFilter operator="greaterThanOrEqual" val="44013"/>
            <customFilter operator="lessThanOrEqual" val="442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AE871-32D0-4956-BDDB-855A93353197}" name="TOTAL"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D11:E14"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country"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numFmtId="168"/>
  </dataFields>
  <formats count="3">
    <format dxfId="77">
      <pivotArea dataOnly="0" outline="0" axis="axisValues" fieldPosition="0"/>
    </format>
    <format dxfId="76">
      <pivotArea dataOnly="0" labelOnly="1" outline="0" axis="axisValues" fieldPosition="0"/>
    </format>
    <format dxfId="75">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7" name="Order Date">
      <autoFilter ref="A1">
        <filterColumn colId="0">
          <customFilters and="1">
            <customFilter operator="greaterThanOrEqual" val="44013"/>
            <customFilter operator="lessThanOrEqual" val="442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600406-17F7-42F7-9CCC-4C4B5DC19500}" name="TOTAL"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D11:E1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name="country"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11"/>
    </i>
    <i>
      <x v="675"/>
    </i>
    <i>
      <x v="173"/>
    </i>
    <i>
      <x v="142"/>
    </i>
    <i>
      <x v="330"/>
    </i>
  </rowItems>
  <colItems count="1">
    <i/>
  </colItems>
  <dataFields count="1">
    <dataField name="Sum of Sales" fld="12" baseField="0" baseItem="0" numFmtId="168"/>
  </dataFields>
  <formats count="3">
    <format dxfId="74">
      <pivotArea dataOnly="0" outline="0" axis="axisValues" fieldPosition="0"/>
    </format>
    <format dxfId="73">
      <pivotArea dataOnly="0" labelOnly="1" outline="0" axis="axisValues" fieldPosition="0"/>
    </format>
    <format dxfId="72">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8" name="Order Date">
      <autoFilter ref="A1">
        <filterColumn colId="0">
          <customFilters and="1">
            <customFilter operator="greaterThanOrEqual" val="44013"/>
            <customFilter operator="lessThanOrEqual" val="44255"/>
          </customFilters>
        </filterColumn>
      </autoFilter>
      <extLst>
        <ext xmlns:x15="http://schemas.microsoft.com/office/spreadsheetml/2010/11/main" uri="{0605FD5F-26C8-4aeb-8148-2DB25E43C511}">
          <x15:pivotFilter useWholeDay="1"/>
        </ext>
      </extLst>
    </filter>
    <filter fld="5" type="count" evalOrder="-1" id="2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70AF095-7F25-4DCA-8339-D51B5E7E04D8}" sourceName="Size">
  <pivotTables>
    <pivotTable tabId="18" name="TOTAL"/>
    <pivotTable tabId="19" name="TOTAL"/>
    <pivotTable tabId="22" name="TOTAL"/>
  </pivotTables>
  <data>
    <tabular pivotCacheId="753741294">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_name" xr10:uid="{4E946D91-B51F-4877-ABE3-776DC58F36E3}" sourceName="Roast Type full name">
  <pivotTables>
    <pivotTable tabId="18" name="TOTAL"/>
    <pivotTable tabId="19" name="TOTAL"/>
    <pivotTable tabId="22" name="TOTAL"/>
  </pivotTables>
  <data>
    <tabular pivotCacheId="7537412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yalty_card" xr10:uid="{0A3F7FB9-13CA-4A3B-8039-8A079D321691}" sourceName="Royalty card">
  <pivotTables>
    <pivotTable tabId="18" name="TOTAL"/>
    <pivotTable tabId="19" name="TOTAL"/>
    <pivotTable tabId="22" name="TOTAL"/>
  </pivotTables>
  <data>
    <tabular pivotCacheId="75374129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08AB2C5-0889-4A09-A3F8-5225E0FC4727}" cache="Slicer_Size" caption="Size" columnCount="2" style="Slicer Style 1" rowHeight="234950"/>
  <slicer name="Roast Type full name 1" xr10:uid="{24353A0C-9733-4809-8863-E457F5004718}" cache="Slicer_Roast_Type_full_name" caption="Roast Type full name" columnCount="3" style="Slicer Style 1" rowHeight="234950"/>
  <slicer name="Royalty card 1" xr10:uid="{B95A0094-6448-4164-AB7A-AA1C9B803138}" cache="Slicer_Royalty_card" caption="R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4AD1CEE-2011-40CE-BC08-EADA6730F831}" cache="Slicer_Size" caption="Size" columnCount="2" style="Slicer Style 1" rowHeight="234950"/>
  <slicer name="Roast Type full name" xr10:uid="{EC73091E-F886-4758-BD1D-8D5DC6CC9C01}" cache="Slicer_Roast_Type_full_name" caption="Roast Type full name" columnCount="3" style="Slicer Style 1" rowHeight="234950"/>
  <slicer name="Royalty card" xr10:uid="{FBBF94A2-DB42-49D5-B1F7-42C039EE8D67}" cache="Slicer_Royalty_card" caption="Royalty card" style="Slicer Style 1" rowHeight="234950"/>
  <slicer name="Royalty card 2" xr10:uid="{9C254F6A-9A54-4966-A6A6-A7C6D2999DD7}" cache="Slicer_Royalty_card" caption="Royalty card"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A3B11-B325-4AAE-A94F-71ADFD8B205F}" name="Orders_Table" displayName="Orders_Table" ref="A1:P1001" totalsRowShown="0" headerRowDxfId="71">
  <autoFilter ref="A1:P1001" xr:uid="{C35A3B11-B325-4AAE-A94F-71ADFD8B205F}"/>
  <tableColumns count="16">
    <tableColumn id="1" xr3:uid="{37630513-B4F5-4200-9A9F-38BEED843613}" name="Order ID" dataDxfId="70"/>
    <tableColumn id="2" xr3:uid="{69BD2D9D-3A0A-4187-A9E0-D1239AAA3DBB}" name="Order Date" dataDxfId="69"/>
    <tableColumn id="3" xr3:uid="{726C13F3-C972-402E-BA0D-F5C88D2A639B}" name="Customer ID" dataDxfId="68"/>
    <tableColumn id="4" xr3:uid="{2BCE803F-1BBE-45D6-803D-E5E63EB1B0E5}" name="Product ID"/>
    <tableColumn id="5" xr3:uid="{FF102015-69CB-4E5F-B88E-52802B66DF33}" name="Quantity" dataDxfId="67"/>
    <tableColumn id="6" xr3:uid="{A961DC3A-359F-4F36-9609-72856549D7F0}" name="Customer Name" dataDxfId="66">
      <calculatedColumnFormula>_xlfn.XLOOKUP(C2,customers!$A$1:$A$1001,customers!$B$1:$B$1001,0)</calculatedColumnFormula>
    </tableColumn>
    <tableColumn id="7" xr3:uid="{8F03F0A5-2D70-4158-B46C-2F85263B4A0C}" name="Email" dataDxfId="65">
      <calculatedColumnFormula>IF(_xlfn.XLOOKUP(C2,customers!$A$1:$A$1001,customers!$C$1:$C$1001,)=0,"",_xlfn.XLOOKUP(C2,customers!$A$1:$A$1001,customers!$C$1:$C$1001,))</calculatedColumnFormula>
    </tableColumn>
    <tableColumn id="8" xr3:uid="{3B889BE8-2BE8-4304-A3C2-37F7532ED60C}" name="Country" dataDxfId="64">
      <calculatedColumnFormula array="1">_xlfn.XLOOKUP(C2,customers!$A$1:$A$1001,customers!$G$1:$G$1001,customers!A1:H974)</calculatedColumnFormula>
    </tableColumn>
    <tableColumn id="9" xr3:uid="{DE8EE7F2-1DDD-4EF0-84FF-03FA2B39F3E4}" name="Coffee Type">
      <calculatedColumnFormula>INDEX(products!$A$1:$G$49,MATCH(orders!$D2,products!$A$1:$A$49,0),MATCH(orders!I$1,products!$A$1:$G$1,0))</calculatedColumnFormula>
    </tableColumn>
    <tableColumn id="10" xr3:uid="{7D5C263F-4B12-4EA8-98F1-57059E1728A3}" name="Roast Type">
      <calculatedColumnFormula>INDEX(products!$A$1:$G$49,MATCH(orders!$D2,products!$A$1:$A$49,0),MATCH(orders!J$1,products!$A$1:$G$1,0))</calculatedColumnFormula>
    </tableColumn>
    <tableColumn id="11" xr3:uid="{2751752D-2C75-4200-8538-7E78AE021A4E}" name="Size" dataDxfId="63">
      <calculatedColumnFormula>INDEX(products!$A$1:$G$49,MATCH(orders!$D2,products!$A$1:$A$49,0),MATCH(orders!K$1,products!$A$1:$G$1,0))</calculatedColumnFormula>
    </tableColumn>
    <tableColumn id="12" xr3:uid="{A96A9AE3-2D84-4FC9-8CC7-A7E6B7EFC7D4}" name="Unit Price" dataDxfId="62" dataCellStyle="Currency">
      <calculatedColumnFormula>INDEX(products!$A$1:$G$49,MATCH(orders!$D2,products!$A$1:$A$49,0),MATCH(orders!L$1,products!$A$1:$G$1,0))</calculatedColumnFormula>
    </tableColumn>
    <tableColumn id="13" xr3:uid="{040FD16B-BC4F-42EB-97B7-0A5923BC3C85}" name="Sales" dataDxfId="61" dataCellStyle="Currency">
      <calculatedColumnFormula>L2*E2</calculatedColumnFormula>
    </tableColumn>
    <tableColumn id="14" xr3:uid="{89DC8A96-0CBE-4F3C-83A1-3107B8EB6F9B}" name=" Coffee Type full name">
      <calculatedColumnFormula>IF(I2="Rob","Robusta",IF(I2="Exc","Excelsa",IF(I2="Ara","Arabic",IF(I2="Lib","Librica"))))</calculatedColumnFormula>
    </tableColumn>
    <tableColumn id="15" xr3:uid="{1833FDED-776A-48E1-87C1-1233179E8569}" name="Roast Type full name">
      <calculatedColumnFormula>IF(J2="M","Medium",IF(J2="L","Large",IF(J2="D","Dark")))</calculatedColumnFormula>
    </tableColumn>
    <tableColumn id="16" xr3:uid="{AF9509AA-5529-4D81-9C83-028C390B69C3}" name="Royalty card" dataDxfId="60">
      <calculatedColumnFormula>_xlfn.XLOOKUP(C2,customers!$A$1:$A$1001,customers!$I$1:$I$1001,0)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4B52943-F514-4F78-B88A-55FB0801F673}" sourceName="Order Date">
  <pivotTables>
    <pivotTable tabId="18" name="TOTAL"/>
    <pivotTable tabId="19" name="TOTAL"/>
    <pivotTable tabId="22" name="TOTAL"/>
  </pivotTables>
  <state minimalRefreshVersion="6" lastRefreshVersion="6" pivotCacheId="753741294" filterType="dateBetween">
    <selection startDate="2020-07-01T00:00:00" endDate="2021-02-28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AB55BE4-7B74-437A-A2D2-4BC081957759}" cache="NativeTimeline_Order_Date" caption="Order Date" level="2" selectionLevel="2" scrollPosition="2020-04-28T00:00:00" style="Timelin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A35AEA8-00F6-4A1E-A7A0-894D26853F19}" cache="NativeTimeline_Order_Date" caption="Order Date" level="2" selectionLevel="2" scrollPosition="2020-08-10T00:00:00" style="Timelin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973E-13A6-466D-ADF5-D0E1C7039878}">
  <dimension ref="A1"/>
  <sheetViews>
    <sheetView tabSelected="1" topLeftCell="E1" zoomScale="70" zoomScaleNormal="70" workbookViewId="0">
      <selection activeCell="AJ21" sqref="AJ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653B7-FE19-4FE3-A6F3-E0D524C89053}">
  <dimension ref="A4:F13"/>
  <sheetViews>
    <sheetView zoomScale="44" workbookViewId="0">
      <selection activeCell="F63" sqref="F63"/>
    </sheetView>
  </sheetViews>
  <sheetFormatPr defaultRowHeight="14.4" x14ac:dyDescent="0.3"/>
  <cols>
    <col min="1" max="1" width="12.5546875" bestFit="1" customWidth="1"/>
    <col min="2" max="2" width="26.109375" bestFit="1" customWidth="1"/>
    <col min="3" max="3" width="27.6640625" bestFit="1" customWidth="1"/>
    <col min="4" max="4" width="7.88671875" bestFit="1" customWidth="1"/>
    <col min="5" max="5" width="7.44140625" bestFit="1" customWidth="1"/>
    <col min="6" max="6" width="9.21875" bestFit="1" customWidth="1"/>
  </cols>
  <sheetData>
    <row r="4" spans="1:6" x14ac:dyDescent="0.3">
      <c r="A4" s="6" t="s">
        <v>6201</v>
      </c>
      <c r="C4" s="6" t="s">
        <v>6196</v>
      </c>
    </row>
    <row r="5" spans="1:6" x14ac:dyDescent="0.3">
      <c r="A5" s="6" t="s">
        <v>6199</v>
      </c>
      <c r="B5" s="6" t="s">
        <v>6200</v>
      </c>
      <c r="C5" t="s">
        <v>6208</v>
      </c>
      <c r="D5" t="s">
        <v>6202</v>
      </c>
      <c r="E5" t="s">
        <v>6203</v>
      </c>
      <c r="F5" t="s">
        <v>6204</v>
      </c>
    </row>
    <row r="6" spans="1:6" x14ac:dyDescent="0.3">
      <c r="A6" t="s">
        <v>6216</v>
      </c>
      <c r="B6" t="s">
        <v>6210</v>
      </c>
      <c r="C6" s="8">
        <v>11.94</v>
      </c>
      <c r="D6" s="8"/>
      <c r="E6" s="8">
        <v>52.38</v>
      </c>
      <c r="F6" s="8"/>
    </row>
    <row r="7" spans="1:6" x14ac:dyDescent="0.3">
      <c r="B7" t="s">
        <v>6211</v>
      </c>
      <c r="C7" s="8"/>
      <c r="D7" s="8"/>
      <c r="E7" s="8"/>
      <c r="F7" s="8">
        <v>11.94</v>
      </c>
    </row>
    <row r="8" spans="1:6" x14ac:dyDescent="0.3">
      <c r="B8" t="s">
        <v>6212</v>
      </c>
      <c r="C8" s="8"/>
      <c r="D8" s="8"/>
      <c r="E8" s="8"/>
      <c r="F8" s="8">
        <v>5.97</v>
      </c>
    </row>
    <row r="9" spans="1:6" x14ac:dyDescent="0.3">
      <c r="B9" t="s">
        <v>6213</v>
      </c>
      <c r="C9" s="8"/>
      <c r="D9" s="8">
        <v>29.16</v>
      </c>
      <c r="E9" s="8">
        <v>38.04</v>
      </c>
      <c r="F9" s="8"/>
    </row>
    <row r="10" spans="1:6" x14ac:dyDescent="0.3">
      <c r="B10" t="s">
        <v>6214</v>
      </c>
      <c r="C10" s="8"/>
      <c r="D10" s="8">
        <v>21.87</v>
      </c>
      <c r="E10" s="8"/>
      <c r="F10" s="8"/>
    </row>
    <row r="11" spans="1:6" x14ac:dyDescent="0.3">
      <c r="B11" t="s">
        <v>6215</v>
      </c>
      <c r="C11" s="8"/>
      <c r="D11" s="8">
        <v>83.88</v>
      </c>
      <c r="E11" s="8"/>
      <c r="F11" s="8"/>
    </row>
    <row r="12" spans="1:6" x14ac:dyDescent="0.3">
      <c r="A12" t="s">
        <v>6207</v>
      </c>
      <c r="B12" t="s">
        <v>6209</v>
      </c>
      <c r="C12" s="8">
        <v>40.5</v>
      </c>
      <c r="D12" s="8">
        <v>36.450000000000003</v>
      </c>
      <c r="E12" s="8"/>
      <c r="F12" s="8">
        <v>23.88</v>
      </c>
    </row>
    <row r="13" spans="1:6" x14ac:dyDescent="0.3">
      <c r="B13" t="s">
        <v>6198</v>
      </c>
      <c r="C13" s="8">
        <v>68.699999999999989</v>
      </c>
      <c r="D13" s="8">
        <v>55.83</v>
      </c>
      <c r="E13" s="8"/>
      <c r="F13" s="8"/>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D8A6-8DA3-494A-84FF-632245EDA6F4}">
  <dimension ref="D11:E15"/>
  <sheetViews>
    <sheetView zoomScale="89" workbookViewId="0">
      <selection activeCell="E12" sqref="E12:E14"/>
    </sheetView>
  </sheetViews>
  <sheetFormatPr defaultRowHeight="14.4" x14ac:dyDescent="0.3"/>
  <cols>
    <col min="1" max="1" width="14" bestFit="1" customWidth="1"/>
    <col min="2" max="3" width="11.6640625" bestFit="1" customWidth="1"/>
    <col min="4" max="4" width="14" bestFit="1" customWidth="1"/>
    <col min="5" max="5" width="11.6640625" bestFit="1" customWidth="1"/>
    <col min="6" max="6" width="7.88671875" bestFit="1" customWidth="1"/>
  </cols>
  <sheetData>
    <row r="11" spans="4:5" x14ac:dyDescent="0.3">
      <c r="D11" s="6" t="s">
        <v>6206</v>
      </c>
      <c r="E11" s="9" t="s">
        <v>6201</v>
      </c>
    </row>
    <row r="12" spans="4:5" x14ac:dyDescent="0.3">
      <c r="D12" t="s">
        <v>318</v>
      </c>
      <c r="E12" s="8">
        <v>64.320000000000007</v>
      </c>
    </row>
    <row r="13" spans="4:5" x14ac:dyDescent="0.3">
      <c r="D13" t="s">
        <v>28</v>
      </c>
      <c r="E13" s="8">
        <v>74.399999999999991</v>
      </c>
    </row>
    <row r="14" spans="4:5" x14ac:dyDescent="0.3">
      <c r="D14" t="s">
        <v>19</v>
      </c>
      <c r="E14" s="8">
        <v>341.82</v>
      </c>
    </row>
    <row r="15" spans="4:5" x14ac:dyDescent="0.3">
      <c r="E15" s="9"/>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8C4B-EC95-458A-AE04-4E45192E9552}">
  <dimension ref="D11:E16"/>
  <sheetViews>
    <sheetView zoomScale="89" workbookViewId="0">
      <selection activeCell="D11" sqref="D11"/>
    </sheetView>
  </sheetViews>
  <sheetFormatPr defaultRowHeight="14.4" x14ac:dyDescent="0.3"/>
  <cols>
    <col min="1" max="1" width="14" bestFit="1" customWidth="1"/>
    <col min="2" max="3" width="11.6640625" bestFit="1" customWidth="1"/>
    <col min="4" max="4" width="19.21875" bestFit="1" customWidth="1"/>
    <col min="5" max="5" width="11.6640625" bestFit="1" customWidth="1"/>
    <col min="6" max="6" width="7.88671875" bestFit="1" customWidth="1"/>
  </cols>
  <sheetData>
    <row r="11" spans="4:5" x14ac:dyDescent="0.3">
      <c r="D11" s="6" t="s">
        <v>4</v>
      </c>
      <c r="E11" s="9" t="s">
        <v>6201</v>
      </c>
    </row>
    <row r="12" spans="4:5" x14ac:dyDescent="0.3">
      <c r="D12" t="s">
        <v>977</v>
      </c>
      <c r="E12" s="8">
        <v>38.849999999999994</v>
      </c>
    </row>
    <row r="13" spans="4:5" x14ac:dyDescent="0.3">
      <c r="D13" t="s">
        <v>1655</v>
      </c>
      <c r="E13" s="8">
        <v>40.5</v>
      </c>
    </row>
    <row r="14" spans="4:5" x14ac:dyDescent="0.3">
      <c r="D14" t="s">
        <v>2076</v>
      </c>
      <c r="E14" s="8">
        <v>41.25</v>
      </c>
    </row>
    <row r="15" spans="4:5" x14ac:dyDescent="0.3">
      <c r="D15" t="s">
        <v>3775</v>
      </c>
      <c r="E15" s="8">
        <v>44.55</v>
      </c>
    </row>
    <row r="16" spans="4:5" x14ac:dyDescent="0.3">
      <c r="D16" t="s">
        <v>3238</v>
      </c>
      <c r="E16" s="8">
        <v>52.38</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4.4" x14ac:dyDescent="0.3"/>
  <cols>
    <col min="1" max="1" width="15.5546875" bestFit="1" customWidth="1"/>
    <col min="2" max="2" width="12.109375" bestFit="1" customWidth="1"/>
    <col min="3" max="3" width="16.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77734375" customWidth="1"/>
    <col min="12" max="12" width="10.77734375" customWidth="1"/>
    <col min="13" max="13" width="8.88671875" bestFit="1" customWidth="1"/>
    <col min="14" max="14" width="21.5546875" customWidth="1"/>
    <col min="15" max="15" width="20.109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t="s">
        <v>6196</v>
      </c>
      <c r="O1" s="2" t="s">
        <v>6197</v>
      </c>
      <c r="P1" s="2" t="s">
        <v>6205</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IF(_xlfn.XLOOKUP(C2,customers!$A$1:$A$1001,customers!$C$1:$C$1001,)=0,"",_xlfn.XLOOKUP(C2,customers!$A$1:$A$1001,customers!$C$1:$C$1001,))</f>
        <v>aallner0@lulu.com</v>
      </c>
      <c r="H2" s="2" t="str" cm="1">
        <f t="array" ref="H2">_xlfn.XLOOKUP(C2,customers!$A$1:$A$1001,customers!$G$1:$G$1001,customers!A1:H974)</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7">
        <f>L2*E2</f>
        <v>19.899999999999999</v>
      </c>
      <c r="N2" t="str">
        <f>IF(I2="Rob","Robusta",IF(I2="Exc","Excelsa",IF(I2="Ara","Arabic",IF(I2="Lib","Librica"))))</f>
        <v>Robusta</v>
      </c>
      <c r="O2" t="str">
        <f>IF(J2="M","Medium",IF(J2="L","Large",IF(J2="D","Dark")))</f>
        <v>Medium</v>
      </c>
      <c r="P2" t="str">
        <f>_xlfn.XLOOKUP(C2,customers!$A$1:$A$1001,customers!$I$1:$I$1001,0)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IF(_xlfn.XLOOKUP(C3,customers!$A$1:$A$1001,customers!$C$1:$C$1001,)=0,"",_xlfn.XLOOKUP(C3,customers!$A$1:$A$1001,customers!$C$1:$C$1001,))</f>
        <v>aallner0@lulu.com</v>
      </c>
      <c r="H3" s="2" t="str" cm="1">
        <f t="array" ref="H3">_xlfn.XLOOKUP(C3,customers!$A$1:$A$1001,customers!$G$1:$G$1001,customers!A2:H975)</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7">
        <f t="shared" ref="M3:M66" si="0">L3*E3</f>
        <v>41.25</v>
      </c>
      <c r="N3" t="str">
        <f t="shared" ref="N3:N66" si="1">IF(I3="Rob","Robusta",IF(I3="Exc","Excelsa",IF(I3="Ara","Arabic",IF(I3="Lib","Librica"))))</f>
        <v>Excelsa</v>
      </c>
      <c r="O3" t="str">
        <f t="shared" ref="O3:O66" si="2">IF(J3="M","Medium",IF(J3="L","Large",IF(J3="D","Dark")))</f>
        <v>Medium</v>
      </c>
      <c r="P3" t="str">
        <f>_xlfn.XLOOKUP(C3,customers!$A$1:$A$1001,customers!$I$1:$I$1001,0)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IF(_xlfn.XLOOKUP(C4,customers!$A$1:$A$1001,customers!$C$1:$C$1001,)=0,"",_xlfn.XLOOKUP(C4,customers!$A$1:$A$1001,customers!$C$1:$C$1001,))</f>
        <v>jredholes2@tmall.com</v>
      </c>
      <c r="H4" s="2" t="str" cm="1">
        <f t="array" ref="H4">_xlfn.XLOOKUP(C4,customers!$A$1:$A$1001,customers!$G$1:$G$1001,customers!A3:H976)</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7">
        <f t="shared" si="0"/>
        <v>12.95</v>
      </c>
      <c r="N4" t="str">
        <f t="shared" si="1"/>
        <v>Arabic</v>
      </c>
      <c r="O4" t="str">
        <f t="shared" si="2"/>
        <v>Large</v>
      </c>
      <c r="P4" t="str">
        <f>_xlfn.XLOOKUP(C4,customers!$A$1:$A$1001,customers!$I$1:$I$1001,0)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IF(_xlfn.XLOOKUP(C5,customers!$A$1:$A$1001,customers!$C$1:$C$1001,)=0,"",_xlfn.XLOOKUP(C5,customers!$A$1:$A$1001,customers!$C$1:$C$1001,))</f>
        <v/>
      </c>
      <c r="H5" s="2" t="str" cm="1">
        <f t="array" ref="H5">_xlfn.XLOOKUP(C5,customers!$A$1:$A$1001,customers!$G$1:$G$1001,customers!A4:H977)</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7">
        <f t="shared" si="0"/>
        <v>27.5</v>
      </c>
      <c r="N5" t="str">
        <f t="shared" si="1"/>
        <v>Excelsa</v>
      </c>
      <c r="O5" t="str">
        <f t="shared" si="2"/>
        <v>Medium</v>
      </c>
      <c r="P5" t="str">
        <f>_xlfn.XLOOKUP(C5,customers!$A$1:$A$1001,customers!$I$1:$I$1001,0)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IF(_xlfn.XLOOKUP(C6,customers!$A$1:$A$1001,customers!$C$1:$C$1001,)=0,"",_xlfn.XLOOKUP(C6,customers!$A$1:$A$1001,customers!$C$1:$C$1001,))</f>
        <v/>
      </c>
      <c r="H6" s="2" t="str" cm="1">
        <f t="array" ref="H6">_xlfn.XLOOKUP(C6,customers!$A$1:$A$1001,customers!$G$1:$G$1001,customers!A5:H978)</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7">
        <f t="shared" si="0"/>
        <v>54.969999999999992</v>
      </c>
      <c r="N6" t="str">
        <f t="shared" si="1"/>
        <v>Robusta</v>
      </c>
      <c r="O6" t="str">
        <f t="shared" si="2"/>
        <v>Large</v>
      </c>
      <c r="P6" t="str">
        <f>_xlfn.XLOOKUP(C6,customers!$A$1:$A$1001,customers!$I$1:$I$1001,0)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IF(_xlfn.XLOOKUP(C7,customers!$A$1:$A$1001,customers!$C$1:$C$1001,)=0,"",_xlfn.XLOOKUP(C7,customers!$A$1:$A$1001,customers!$C$1:$C$1001,))</f>
        <v/>
      </c>
      <c r="H7" s="2" t="str" cm="1">
        <f t="array" ref="H7">_xlfn.XLOOKUP(C7,customers!$A$1:$A$1001,customers!$G$1:$G$1001,customers!A6:H979)</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7">
        <f t="shared" si="0"/>
        <v>38.849999999999994</v>
      </c>
      <c r="N7" t="str">
        <f t="shared" si="1"/>
        <v>Librica</v>
      </c>
      <c r="O7" t="str">
        <f t="shared" si="2"/>
        <v>Dark</v>
      </c>
      <c r="P7" t="str">
        <f>_xlfn.XLOOKUP(C7,customers!$A$1:$A$1001,customers!$I$1:$I$1001,0)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IF(_xlfn.XLOOKUP(C8,customers!$A$1:$A$1001,customers!$C$1:$C$1001,)=0,"",_xlfn.XLOOKUP(C8,customers!$A$1:$A$1001,customers!$C$1:$C$1001,))</f>
        <v>slobe6@nifty.com</v>
      </c>
      <c r="H8" s="2" t="str" cm="1">
        <f t="array" ref="H8">_xlfn.XLOOKUP(C8,customers!$A$1:$A$1001,customers!$G$1:$G$1001,customers!A7:H980)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7">
        <f t="shared" si="0"/>
        <v>21.87</v>
      </c>
      <c r="N8" t="str">
        <f t="shared" si="1"/>
        <v>Excelsa</v>
      </c>
      <c r="O8" t="str">
        <f t="shared" si="2"/>
        <v>Dark</v>
      </c>
      <c r="P8" t="str">
        <f>_xlfn.XLOOKUP(C8,customers!$A$1:$A$1001,customers!$I$1:$I$1001,0)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IF(_xlfn.XLOOKUP(C9,customers!$A$1:$A$1001,customers!$C$1:$C$1001,)=0,"",_xlfn.XLOOKUP(C9,customers!$A$1:$A$1001,customers!$C$1:$C$1001,))</f>
        <v/>
      </c>
      <c r="H9" s="2" t="str" cm="1">
        <f t="array" ref="H9">_xlfn.XLOOKUP(C9,customers!$A$1:$A$1001,customers!$G$1:$G$1001,customers!A8:H981)</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7">
        <f t="shared" si="0"/>
        <v>4.7549999999999999</v>
      </c>
      <c r="N9" t="str">
        <f t="shared" si="1"/>
        <v>Librica</v>
      </c>
      <c r="O9" t="str">
        <f t="shared" si="2"/>
        <v>Large</v>
      </c>
      <c r="P9" t="str">
        <f>_xlfn.XLOOKUP(C9,customers!$A$1:$A$1001,customers!$I$1:$I$1001,0)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IF(_xlfn.XLOOKUP(C10,customers!$A$1:$A$1001,customers!$C$1:$C$1001,)=0,"",_xlfn.XLOOKUP(C10,customers!$A$1:$A$1001,customers!$C$1:$C$1001,))</f>
        <v>gpetracci8@livejournal.com</v>
      </c>
      <c r="H10" s="2" t="str" cm="1">
        <f t="array" ref="H10">_xlfn.XLOOKUP(C10,customers!$A$1:$A$1001,customers!$G$1:$G$1001,customers!A9:H982)</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7">
        <f t="shared" si="0"/>
        <v>17.91</v>
      </c>
      <c r="N10" t="str">
        <f t="shared" si="1"/>
        <v>Robusta</v>
      </c>
      <c r="O10" t="str">
        <f t="shared" si="2"/>
        <v>Medium</v>
      </c>
      <c r="P10" t="str">
        <f>_xlfn.XLOOKUP(C10,customers!$A$1:$A$1001,customers!$I$1:$I$1001,0)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IF(_xlfn.XLOOKUP(C11,customers!$A$1:$A$1001,customers!$C$1:$C$1001,)=0,"",_xlfn.XLOOKUP(C11,customers!$A$1:$A$1001,customers!$C$1:$C$1001,))</f>
        <v>rraven9@ed.gov</v>
      </c>
      <c r="H11" s="2" t="str" cm="1">
        <f t="array" ref="H11">_xlfn.XLOOKUP(C11,customers!$A$1:$A$1001,customers!$G$1:$G$1001,customers!A10:H983)</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7">
        <f t="shared" si="0"/>
        <v>5.97</v>
      </c>
      <c r="N11" t="str">
        <f t="shared" si="1"/>
        <v>Robusta</v>
      </c>
      <c r="O11" t="str">
        <f t="shared" si="2"/>
        <v>Medium</v>
      </c>
      <c r="P11" t="str">
        <f>_xlfn.XLOOKUP(C11,customers!$A$1:$A$1001,customers!$I$1:$I$1001,0)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IF(_xlfn.XLOOKUP(C12,customers!$A$1:$A$1001,customers!$C$1:$C$1001,)=0,"",_xlfn.XLOOKUP(C12,customers!$A$1:$A$1001,customers!$C$1:$C$1001,))</f>
        <v>fferbera@businesswire.com</v>
      </c>
      <c r="H12" s="2" t="str" cm="1">
        <f t="array" ref="H12">_xlfn.XLOOKUP(C12,customers!$A$1:$A$1001,customers!$G$1:$G$1001,customers!A11:H984)</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7">
        <f t="shared" si="0"/>
        <v>39.799999999999997</v>
      </c>
      <c r="N12" t="str">
        <f t="shared" si="1"/>
        <v>Arabic</v>
      </c>
      <c r="O12" t="str">
        <f t="shared" si="2"/>
        <v>Dark</v>
      </c>
      <c r="P12" t="str">
        <f>_xlfn.XLOOKUP(C12,customers!$A$1:$A$1001,customers!$I$1:$I$1001,0)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IF(_xlfn.XLOOKUP(C13,customers!$A$1:$A$1001,customers!$C$1:$C$1001,)=0,"",_xlfn.XLOOKUP(C13,customers!$A$1:$A$1001,customers!$C$1:$C$1001,))</f>
        <v>dphizackerlyb@utexas.edu</v>
      </c>
      <c r="H13" s="2" t="str" cm="1">
        <f t="array" ref="H13">_xlfn.XLOOKUP(C13,customers!$A$1:$A$1001,customers!$G$1:$G$1001,customers!A12:H985)</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7">
        <f t="shared" si="0"/>
        <v>170.77499999999998</v>
      </c>
      <c r="N13" t="str">
        <f t="shared" si="1"/>
        <v>Excelsa</v>
      </c>
      <c r="O13" t="str">
        <f t="shared" si="2"/>
        <v>Large</v>
      </c>
      <c r="P13" t="str">
        <f>_xlfn.XLOOKUP(C13,customers!$A$1:$A$1001,customers!$I$1:$I$1001,0)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IF(_xlfn.XLOOKUP(C14,customers!$A$1:$A$1001,customers!$C$1:$C$1001,)=0,"",_xlfn.XLOOKUP(C14,customers!$A$1:$A$1001,customers!$C$1:$C$1001,))</f>
        <v>rscholarc@nyu.edu</v>
      </c>
      <c r="H14" s="2" t="str" cm="1">
        <f t="array" ref="H14">_xlfn.XLOOKUP(C14,customers!$A$1:$A$1001,customers!$G$1:$G$1001,customers!A13:H986)</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7">
        <f t="shared" si="0"/>
        <v>49.75</v>
      </c>
      <c r="N14" t="str">
        <f t="shared" si="1"/>
        <v>Robusta</v>
      </c>
      <c r="O14" t="str">
        <f t="shared" si="2"/>
        <v>Medium</v>
      </c>
      <c r="P14" t="str">
        <f>_xlfn.XLOOKUP(C14,customers!$A$1:$A$1001,customers!$I$1:$I$1001,0)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IF(_xlfn.XLOOKUP(C15,customers!$A$1:$A$1001,customers!$C$1:$C$1001,)=0,"",_xlfn.XLOOKUP(C15,customers!$A$1:$A$1001,customers!$C$1:$C$1001,))</f>
        <v>tvanyutind@wix.com</v>
      </c>
      <c r="H15" s="2" t="str" cm="1">
        <f t="array" ref="H15">_xlfn.XLOOKUP(C15,customers!$A$1:$A$1001,customers!$G$1:$G$1001,customers!A14:H987)</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7">
        <f t="shared" si="0"/>
        <v>41.169999999999995</v>
      </c>
      <c r="N15" t="str">
        <f t="shared" si="1"/>
        <v>Robusta</v>
      </c>
      <c r="O15" t="str">
        <f t="shared" si="2"/>
        <v>Dark</v>
      </c>
      <c r="P15" t="str">
        <f>_xlfn.XLOOKUP(C15,customers!$A$1:$A$1001,customers!$I$1:$I$1001,0)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IF(_xlfn.XLOOKUP(C16,customers!$A$1:$A$1001,customers!$C$1:$C$1001,)=0,"",_xlfn.XLOOKUP(C16,customers!$A$1:$A$1001,customers!$C$1:$C$1001,))</f>
        <v>ptrobee@wunderground.com</v>
      </c>
      <c r="H16" s="2" t="str" cm="1">
        <f t="array" ref="H16">_xlfn.XLOOKUP(C16,customers!$A$1:$A$1001,customers!$G$1:$G$1001,customers!A15:H988)</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7">
        <f t="shared" si="0"/>
        <v>11.654999999999999</v>
      </c>
      <c r="N16" t="str">
        <f t="shared" si="1"/>
        <v>Librica</v>
      </c>
      <c r="O16" t="str">
        <f t="shared" si="2"/>
        <v>Dark</v>
      </c>
      <c r="P16" t="str">
        <f>_xlfn.XLOOKUP(C16,customers!$A$1:$A$1001,customers!$I$1:$I$1001,0)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IF(_xlfn.XLOOKUP(C17,customers!$A$1:$A$1001,customers!$C$1:$C$1001,)=0,"",_xlfn.XLOOKUP(C17,customers!$A$1:$A$1001,customers!$C$1:$C$1001,))</f>
        <v>loscroftf@ebay.co.uk</v>
      </c>
      <c r="H17" s="2" t="str" cm="1">
        <f t="array" ref="H17">_xlfn.XLOOKUP(C17,customers!$A$1:$A$1001,customers!$G$1:$G$1001,customers!A16:H989)</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7">
        <f t="shared" si="0"/>
        <v>114.42499999999998</v>
      </c>
      <c r="N17" t="str">
        <f t="shared" si="1"/>
        <v>Robusta</v>
      </c>
      <c r="O17" t="str">
        <f t="shared" si="2"/>
        <v>Medium</v>
      </c>
      <c r="P17" t="str">
        <f>_xlfn.XLOOKUP(C17,customers!$A$1:$A$1001,customers!$I$1:$I$1001,0)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IF(_xlfn.XLOOKUP(C18,customers!$A$1:$A$1001,customers!$C$1:$C$1001,)=0,"",_xlfn.XLOOKUP(C18,customers!$A$1:$A$1001,customers!$C$1:$C$1001,))</f>
        <v>malabasterg@hexun.com</v>
      </c>
      <c r="H18" s="2" t="str" cm="1">
        <f t="array" ref="H18">_xlfn.XLOOKUP(C18,customers!$A$1:$A$1001,customers!$G$1:$G$1001,customers!A17:H990)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7">
        <f t="shared" si="0"/>
        <v>20.25</v>
      </c>
      <c r="N18" t="str">
        <f t="shared" si="1"/>
        <v>Arabic</v>
      </c>
      <c r="O18" t="str">
        <f t="shared" si="2"/>
        <v>Medium</v>
      </c>
      <c r="P18" t="str">
        <f>_xlfn.XLOOKUP(C18,customers!$A$1:$A$1001,customers!$I$1:$I$1001,0)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IF(_xlfn.XLOOKUP(C19,customers!$A$1:$A$1001,customers!$C$1:$C$1001,)=0,"",_xlfn.XLOOKUP(C19,customers!$A$1:$A$1001,customers!$C$1:$C$1001,))</f>
        <v>rbroxuph@jimdo.com</v>
      </c>
      <c r="H19" s="2" t="str" cm="1">
        <f t="array" ref="H19">_xlfn.XLOOKUP(C19,customers!$A$1:$A$1001,customers!$G$1:$G$1001,customers!A18:H991)</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7">
        <f t="shared" si="0"/>
        <v>77.699999999999989</v>
      </c>
      <c r="N19" t="str">
        <f t="shared" si="1"/>
        <v>Arabic</v>
      </c>
      <c r="O19" t="str">
        <f t="shared" si="2"/>
        <v>Large</v>
      </c>
      <c r="P19" t="str">
        <f>_xlfn.XLOOKUP(C19,customers!$A$1:$A$1001,customers!$I$1:$I$1001,0)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IF(_xlfn.XLOOKUP(C20,customers!$A$1:$A$1001,customers!$C$1:$C$1001,)=0,"",_xlfn.XLOOKUP(C20,customers!$A$1:$A$1001,customers!$C$1:$C$1001,))</f>
        <v>predfordi@ow.ly</v>
      </c>
      <c r="H20" s="2" t="str" cm="1">
        <f t="array" ref="H20">_xlfn.XLOOKUP(C20,customers!$A$1:$A$1001,customers!$G$1:$G$1001,customers!A19:H992)</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7">
        <f t="shared" si="0"/>
        <v>82.339999999999989</v>
      </c>
      <c r="N20" t="str">
        <f t="shared" si="1"/>
        <v>Robusta</v>
      </c>
      <c r="O20" t="str">
        <f t="shared" si="2"/>
        <v>Dark</v>
      </c>
      <c r="P20" t="str">
        <f>_xlfn.XLOOKUP(C20,customers!$A$1:$A$1001,customers!$I$1:$I$1001,0)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IF(_xlfn.XLOOKUP(C21,customers!$A$1:$A$1001,customers!$C$1:$C$1001,)=0,"",_xlfn.XLOOKUP(C21,customers!$A$1:$A$1001,customers!$C$1:$C$1001,))</f>
        <v>acorradinoj@harvard.edu</v>
      </c>
      <c r="H21" s="2" t="str" cm="1">
        <f t="array" ref="H21">_xlfn.XLOOKUP(C21,customers!$A$1:$A$1001,customers!$G$1:$G$1001,customers!A20:H993)</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7">
        <f t="shared" si="0"/>
        <v>16.875</v>
      </c>
      <c r="N21" t="str">
        <f t="shared" si="1"/>
        <v>Arabic</v>
      </c>
      <c r="O21" t="str">
        <f t="shared" si="2"/>
        <v>Medium</v>
      </c>
      <c r="P21" t="str">
        <f>_xlfn.XLOOKUP(C21,customers!$A$1:$A$1001,customers!$I$1:$I$1001,0)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IF(_xlfn.XLOOKUP(C22,customers!$A$1:$A$1001,customers!$C$1:$C$1001,)=0,"",_xlfn.XLOOKUP(C22,customers!$A$1:$A$1001,customers!$C$1:$C$1001,))</f>
        <v>acorradinoj@harvard.edu</v>
      </c>
      <c r="H22" s="2" t="str" cm="1">
        <f t="array" ref="H22">_xlfn.XLOOKUP(C22,customers!$A$1:$A$1001,customers!$G$1:$G$1001,customers!A21:H994)</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7">
        <f t="shared" si="0"/>
        <v>14.58</v>
      </c>
      <c r="N22" t="str">
        <f t="shared" si="1"/>
        <v>Excelsa</v>
      </c>
      <c r="O22" t="str">
        <f t="shared" si="2"/>
        <v>Dark</v>
      </c>
      <c r="P22" t="str">
        <f>_xlfn.XLOOKUP(C22,customers!$A$1:$A$1001,customers!$I$1:$I$1001,0)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IF(_xlfn.XLOOKUP(C23,customers!$A$1:$A$1001,customers!$C$1:$C$1001,)=0,"",_xlfn.XLOOKUP(C23,customers!$A$1:$A$1001,customers!$C$1:$C$1001,))</f>
        <v>adavidowskyl@netvibes.com</v>
      </c>
      <c r="H23" s="2" t="str" cm="1">
        <f t="array" ref="H23">_xlfn.XLOOKUP(C23,customers!$A$1:$A$1001,customers!$G$1:$G$1001,customers!A22:H995)</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7">
        <f t="shared" si="0"/>
        <v>17.91</v>
      </c>
      <c r="N23" t="str">
        <f t="shared" si="1"/>
        <v>Arabic</v>
      </c>
      <c r="O23" t="str">
        <f t="shared" si="2"/>
        <v>Dark</v>
      </c>
      <c r="P23" t="str">
        <f>_xlfn.XLOOKUP(C23,customers!$A$1:$A$1001,customers!$I$1:$I$1001,0)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IF(_xlfn.XLOOKUP(C24,customers!$A$1:$A$1001,customers!$C$1:$C$1001,)=0,"",_xlfn.XLOOKUP(C24,customers!$A$1:$A$1001,customers!$C$1:$C$1001,))</f>
        <v>aantukm@kickstarter.com</v>
      </c>
      <c r="H24" s="2" t="str" cm="1">
        <f t="array" ref="H24">_xlfn.XLOOKUP(C24,customers!$A$1:$A$1001,customers!$G$1:$G$1001,customers!A23:H996)</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7">
        <f t="shared" si="0"/>
        <v>91.539999999999992</v>
      </c>
      <c r="N24" t="str">
        <f t="shared" si="1"/>
        <v>Robusta</v>
      </c>
      <c r="O24" t="str">
        <f t="shared" si="2"/>
        <v>Medium</v>
      </c>
      <c r="P24" t="str">
        <f>_xlfn.XLOOKUP(C24,customers!$A$1:$A$1001,customers!$I$1:$I$1001,0)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IF(_xlfn.XLOOKUP(C25,customers!$A$1:$A$1001,customers!$C$1:$C$1001,)=0,"",_xlfn.XLOOKUP(C25,customers!$A$1:$A$1001,customers!$C$1:$C$1001,))</f>
        <v>ikleinertn@timesonline.co.uk</v>
      </c>
      <c r="H25" s="2" t="str" cm="1">
        <f t="array" ref="H25">_xlfn.XLOOKUP(C25,customers!$A$1:$A$1001,customers!$G$1:$G$1001,customers!A24:H997)</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7">
        <f t="shared" si="0"/>
        <v>11.94</v>
      </c>
      <c r="N25" t="str">
        <f t="shared" si="1"/>
        <v>Arabic</v>
      </c>
      <c r="O25" t="str">
        <f t="shared" si="2"/>
        <v>Dark</v>
      </c>
      <c r="P25" t="str">
        <f>_xlfn.XLOOKUP(C25,customers!$A$1:$A$1001,customers!$I$1:$I$1001,0)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IF(_xlfn.XLOOKUP(C26,customers!$A$1:$A$1001,customers!$C$1:$C$1001,)=0,"",_xlfn.XLOOKUP(C26,customers!$A$1:$A$1001,customers!$C$1:$C$1001,))</f>
        <v>cblofeldo@amazon.co.uk</v>
      </c>
      <c r="H26" s="2" t="str" cm="1">
        <f t="array" ref="H26">_xlfn.XLOOKUP(C26,customers!$A$1:$A$1001,customers!$G$1:$G$1001,customers!A25:H998)</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7">
        <f t="shared" si="0"/>
        <v>11.25</v>
      </c>
      <c r="N26" t="str">
        <f t="shared" si="1"/>
        <v>Arabic</v>
      </c>
      <c r="O26" t="str">
        <f t="shared" si="2"/>
        <v>Medium</v>
      </c>
      <c r="P26" t="str">
        <f>_xlfn.XLOOKUP(C26,customers!$A$1:$A$1001,customers!$I$1:$I$1001,0)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IF(_xlfn.XLOOKUP(C27,customers!$A$1:$A$1001,customers!$C$1:$C$1001,)=0,"",_xlfn.XLOOKUP(C27,customers!$A$1:$A$1001,customers!$C$1:$C$1001,))</f>
        <v/>
      </c>
      <c r="H27" s="2" t="str" cm="1">
        <f t="array" ref="H27">_xlfn.XLOOKUP(C27,customers!$A$1:$A$1001,customers!$G$1:$G$1001,customers!A26:H999)</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7">
        <f t="shared" si="0"/>
        <v>12.375</v>
      </c>
      <c r="N27" t="str">
        <f t="shared" si="1"/>
        <v>Excelsa</v>
      </c>
      <c r="O27" t="str">
        <f t="shared" si="2"/>
        <v>Medium</v>
      </c>
      <c r="P27" t="str">
        <f>_xlfn.XLOOKUP(C27,customers!$A$1:$A$1001,customers!$I$1:$I$1001,0)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IF(_xlfn.XLOOKUP(C28,customers!$A$1:$A$1001,customers!$C$1:$C$1001,)=0,"",_xlfn.XLOOKUP(C28,customers!$A$1:$A$1001,customers!$C$1:$C$1001,))</f>
        <v>sshalesq@umich.edu</v>
      </c>
      <c r="H28" s="2" t="str" cm="1">
        <f t="array" ref="H28">_xlfn.XLOOKUP(C28,customers!$A$1:$A$1001,customers!$G$1:$G$1001,customers!A27:H1000)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7">
        <f t="shared" si="0"/>
        <v>27</v>
      </c>
      <c r="N28" t="str">
        <f t="shared" si="1"/>
        <v>Arabic</v>
      </c>
      <c r="O28" t="str">
        <f t="shared" si="2"/>
        <v>Medium</v>
      </c>
      <c r="P28" t="str">
        <f>_xlfn.XLOOKUP(C28,customers!$A$1:$A$1001,customers!$I$1:$I$1001,0)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IF(_xlfn.XLOOKUP(C29,customers!$A$1:$A$1001,customers!$C$1:$C$1001,)=0,"",_xlfn.XLOOKUP(C29,customers!$A$1:$A$1001,customers!$C$1:$C$1001,))</f>
        <v>vdanneilr@mtv.com</v>
      </c>
      <c r="H29" s="2" t="str" cm="1">
        <f t="array" ref="H29">_xlfn.XLOOKUP(C29,customers!$A$1:$A$1001,customers!$G$1:$G$1001,customers!A28:H1001)</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7">
        <f t="shared" si="0"/>
        <v>16.875</v>
      </c>
      <c r="N29" t="str">
        <f t="shared" si="1"/>
        <v>Arabic</v>
      </c>
      <c r="O29" t="str">
        <f t="shared" si="2"/>
        <v>Medium</v>
      </c>
      <c r="P29" t="str">
        <f>_xlfn.XLOOKUP(C29,customers!$A$1:$A$1001,customers!$I$1:$I$1001,0)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IF(_xlfn.XLOOKUP(C30,customers!$A$1:$A$1001,customers!$C$1:$C$1001,)=0,"",_xlfn.XLOOKUP(C30,customers!$A$1:$A$1001,customers!$C$1:$C$1001,))</f>
        <v>tnewburys@usda.gov</v>
      </c>
      <c r="H30" s="2" t="str" cm="1">
        <f t="array" ref="H30">_xlfn.XLOOKUP(C30,customers!$A$1:$A$1001,customers!$G$1:$G$1001,customers!A29:H1002)</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7">
        <f t="shared" si="0"/>
        <v>17.91</v>
      </c>
      <c r="N30" t="str">
        <f t="shared" si="1"/>
        <v>Arabic</v>
      </c>
      <c r="O30" t="str">
        <f t="shared" si="2"/>
        <v>Dark</v>
      </c>
      <c r="P30" t="str">
        <f>_xlfn.XLOOKUP(C30,customers!$A$1:$A$1001,customers!$I$1:$I$1001,0)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IF(_xlfn.XLOOKUP(C31,customers!$A$1:$A$1001,customers!$C$1:$C$1001,)=0,"",_xlfn.XLOOKUP(C31,customers!$A$1:$A$1001,customers!$C$1:$C$1001,))</f>
        <v>mcalcuttt@baidu.com</v>
      </c>
      <c r="H31" s="2" t="str" cm="1">
        <f t="array" ref="H31">_xlfn.XLOOKUP(C31,customers!$A$1:$A$1001,customers!$G$1:$G$1001,customers!A30:H1003)</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7">
        <f t="shared" si="0"/>
        <v>39.799999999999997</v>
      </c>
      <c r="N31" t="str">
        <f t="shared" si="1"/>
        <v>Arabic</v>
      </c>
      <c r="O31" t="str">
        <f t="shared" si="2"/>
        <v>Dark</v>
      </c>
      <c r="P31" t="str">
        <f>_xlfn.XLOOKUP(C31,customers!$A$1:$A$1001,customers!$I$1:$I$1001,0)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IF(_xlfn.XLOOKUP(C32,customers!$A$1:$A$1001,customers!$C$1:$C$1001,)=0,"",_xlfn.XLOOKUP(C32,customers!$A$1:$A$1001,customers!$C$1:$C$1001,))</f>
        <v/>
      </c>
      <c r="H32" s="2" t="str" cm="1">
        <f t="array" ref="H32">_xlfn.XLOOKUP(C32,customers!$A$1:$A$1001,customers!$G$1:$G$1001,customers!A31:H1004)</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7">
        <f t="shared" si="0"/>
        <v>21.825000000000003</v>
      </c>
      <c r="N32" t="str">
        <f t="shared" si="1"/>
        <v>Librica</v>
      </c>
      <c r="O32" t="str">
        <f t="shared" si="2"/>
        <v>Medium</v>
      </c>
      <c r="P32" t="str">
        <f>_xlfn.XLOOKUP(C32,customers!$A$1:$A$1001,customers!$I$1:$I$1001,0)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IF(_xlfn.XLOOKUP(C33,customers!$A$1:$A$1001,customers!$C$1:$C$1001,)=0,"",_xlfn.XLOOKUP(C33,customers!$A$1:$A$1001,customers!$C$1:$C$1001,))</f>
        <v/>
      </c>
      <c r="H33" s="2" t="str" cm="1">
        <f t="array" ref="H33">_xlfn.XLOOKUP(C33,customers!$A$1:$A$1001,customers!$G$1:$G$1001,customers!A32:H1005)</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7">
        <f t="shared" si="0"/>
        <v>35.82</v>
      </c>
      <c r="N33" t="str">
        <f t="shared" si="1"/>
        <v>Arabic</v>
      </c>
      <c r="O33" t="str">
        <f t="shared" si="2"/>
        <v>Dark</v>
      </c>
      <c r="P33" t="str">
        <f>_xlfn.XLOOKUP(C33,customers!$A$1:$A$1001,customers!$I$1:$I$1001,0)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IF(_xlfn.XLOOKUP(C34,customers!$A$1:$A$1001,customers!$C$1:$C$1001,)=0,"",_xlfn.XLOOKUP(C34,customers!$A$1:$A$1001,customers!$C$1:$C$1001,))</f>
        <v/>
      </c>
      <c r="H34" s="2" t="str" cm="1">
        <f t="array" ref="H34">_xlfn.XLOOKUP(C34,customers!$A$1:$A$1001,customers!$G$1:$G$1001,customers!A33:H1006)</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7">
        <f t="shared" si="0"/>
        <v>52.38</v>
      </c>
      <c r="N34" t="str">
        <f t="shared" si="1"/>
        <v>Librica</v>
      </c>
      <c r="O34" t="str">
        <f t="shared" si="2"/>
        <v>Medium</v>
      </c>
      <c r="P34" t="str">
        <f>_xlfn.XLOOKUP(C34,customers!$A$1:$A$1001,customers!$I$1:$I$1001,0)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IF(_xlfn.XLOOKUP(C35,customers!$A$1:$A$1001,customers!$C$1:$C$1001,)=0,"",_xlfn.XLOOKUP(C35,customers!$A$1:$A$1001,customers!$C$1:$C$1001,))</f>
        <v>ggatheralx@123-reg.co.uk</v>
      </c>
      <c r="H35" s="2" t="str" cm="1">
        <f t="array" ref="H35">_xlfn.XLOOKUP(C35,customers!$A$1:$A$1001,customers!$G$1:$G$1001,customers!A34:H1007)</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7">
        <f t="shared" si="0"/>
        <v>23.774999999999999</v>
      </c>
      <c r="N35" t="str">
        <f t="shared" si="1"/>
        <v>Librica</v>
      </c>
      <c r="O35" t="str">
        <f t="shared" si="2"/>
        <v>Large</v>
      </c>
      <c r="P35" t="str">
        <f>_xlfn.XLOOKUP(C35,customers!$A$1:$A$1001,customers!$I$1:$I$1001,0)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IF(_xlfn.XLOOKUP(C36,customers!$A$1:$A$1001,customers!$C$1:$C$1001,)=0,"",_xlfn.XLOOKUP(C36,customers!$A$1:$A$1001,customers!$C$1:$C$1001,))</f>
        <v>uwelberryy@ebay.co.uk</v>
      </c>
      <c r="H36" s="2" t="str" cm="1">
        <f t="array" ref="H36">_xlfn.XLOOKUP(C36,customers!$A$1:$A$1001,customers!$G$1:$G$1001,customers!A35:H1008)</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7">
        <f t="shared" si="0"/>
        <v>57.06</v>
      </c>
      <c r="N36" t="str">
        <f t="shared" si="1"/>
        <v>Librica</v>
      </c>
      <c r="O36" t="str">
        <f t="shared" si="2"/>
        <v>Large</v>
      </c>
      <c r="P36" t="str">
        <f>_xlfn.XLOOKUP(C36,customers!$A$1:$A$1001,customers!$I$1:$I$1001,0)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IF(_xlfn.XLOOKUP(C37,customers!$A$1:$A$1001,customers!$C$1:$C$1001,)=0,"",_xlfn.XLOOKUP(C37,customers!$A$1:$A$1001,customers!$C$1:$C$1001,))</f>
        <v>feilhartz@who.int</v>
      </c>
      <c r="H37" s="2" t="str" cm="1">
        <f t="array" ref="H37">_xlfn.XLOOKUP(C37,customers!$A$1:$A$1001,customers!$G$1:$G$1001,customers!A36:H1009)</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7">
        <f t="shared" si="0"/>
        <v>35.82</v>
      </c>
      <c r="N37" t="str">
        <f t="shared" si="1"/>
        <v>Arabic</v>
      </c>
      <c r="O37" t="str">
        <f t="shared" si="2"/>
        <v>Dark</v>
      </c>
      <c r="P37" t="str">
        <f>_xlfn.XLOOKUP(C37,customers!$A$1:$A$1001,customers!$I$1:$I$1001,0)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IF(_xlfn.XLOOKUP(C38,customers!$A$1:$A$1001,customers!$C$1:$C$1001,)=0,"",_xlfn.XLOOKUP(C38,customers!$A$1:$A$1001,customers!$C$1:$C$1001,))</f>
        <v>zponting10@altervista.org</v>
      </c>
      <c r="H38" s="2" t="str" cm="1">
        <f t="array" ref="H38">_xlfn.XLOOKUP(C38,customers!$A$1:$A$1001,customers!$G$1:$G$1001,customers!A37:H1010)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7">
        <f t="shared" si="0"/>
        <v>8.73</v>
      </c>
      <c r="N38" t="str">
        <f t="shared" si="1"/>
        <v>Librica</v>
      </c>
      <c r="O38" t="str">
        <f t="shared" si="2"/>
        <v>Medium</v>
      </c>
      <c r="P38" t="str">
        <f>_xlfn.XLOOKUP(C38,customers!$A$1:$A$1001,customers!$I$1:$I$1001,0)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IF(_xlfn.XLOOKUP(C39,customers!$A$1:$A$1001,customers!$C$1:$C$1001,)=0,"",_xlfn.XLOOKUP(C39,customers!$A$1:$A$1001,customers!$C$1:$C$1001,))</f>
        <v>sstrase11@booking.com</v>
      </c>
      <c r="H39" s="2" t="str" cm="1">
        <f t="array" ref="H39">_xlfn.XLOOKUP(C39,customers!$A$1:$A$1001,customers!$G$1:$G$1001,customers!A38:H1011)</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7">
        <f t="shared" si="0"/>
        <v>28.53</v>
      </c>
      <c r="N39" t="str">
        <f t="shared" si="1"/>
        <v>Librica</v>
      </c>
      <c r="O39" t="str">
        <f t="shared" si="2"/>
        <v>Large</v>
      </c>
      <c r="P39" t="str">
        <f>_xlfn.XLOOKUP(C39,customers!$A$1:$A$1001,customers!$I$1:$I$1001,0)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IF(_xlfn.XLOOKUP(C40,customers!$A$1:$A$1001,customers!$C$1:$C$1001,)=0,"",_xlfn.XLOOKUP(C40,customers!$A$1:$A$1001,customers!$C$1:$C$1001,))</f>
        <v>dde12@unesco.org</v>
      </c>
      <c r="H40" s="2" t="str" cm="1">
        <f t="array" ref="H40">_xlfn.XLOOKUP(C40,customers!$A$1:$A$1001,customers!$G$1:$G$1001,customers!A39:H1012)</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7">
        <f t="shared" si="0"/>
        <v>114.42499999999998</v>
      </c>
      <c r="N40" t="str">
        <f t="shared" si="1"/>
        <v>Robusta</v>
      </c>
      <c r="O40" t="str">
        <f t="shared" si="2"/>
        <v>Medium</v>
      </c>
      <c r="P40" t="str">
        <f>_xlfn.XLOOKUP(C40,customers!$A$1:$A$1001,customers!$I$1:$I$1001,0)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IF(_xlfn.XLOOKUP(C41,customers!$A$1:$A$1001,customers!$C$1:$C$1001,)=0,"",_xlfn.XLOOKUP(C41,customers!$A$1:$A$1001,customers!$C$1:$C$1001,))</f>
        <v/>
      </c>
      <c r="H41" s="2" t="str" cm="1">
        <f t="array" ref="H41">_xlfn.XLOOKUP(C41,customers!$A$1:$A$1001,customers!$G$1:$G$1001,customers!A40:H1013)</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7">
        <f t="shared" si="0"/>
        <v>59.699999999999996</v>
      </c>
      <c r="N41" t="str">
        <f t="shared" si="1"/>
        <v>Robusta</v>
      </c>
      <c r="O41" t="str">
        <f t="shared" si="2"/>
        <v>Medium</v>
      </c>
      <c r="P41" t="str">
        <f>_xlfn.XLOOKUP(C41,customers!$A$1:$A$1001,customers!$I$1:$I$1001,0)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IF(_xlfn.XLOOKUP(C42,customers!$A$1:$A$1001,customers!$C$1:$C$1001,)=0,"",_xlfn.XLOOKUP(C42,customers!$A$1:$A$1001,customers!$C$1:$C$1001,))</f>
        <v/>
      </c>
      <c r="H42" s="2" t="str" cm="1">
        <f t="array" ref="H42">_xlfn.XLOOKUP(C42,customers!$A$1:$A$1001,customers!$G$1:$G$1001,customers!A41:H1014)</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7">
        <f t="shared" si="0"/>
        <v>43.650000000000006</v>
      </c>
      <c r="N42" t="str">
        <f t="shared" si="1"/>
        <v>Librica</v>
      </c>
      <c r="O42" t="str">
        <f t="shared" si="2"/>
        <v>Medium</v>
      </c>
      <c r="P42" t="str">
        <f>_xlfn.XLOOKUP(C42,customers!$A$1:$A$1001,customers!$I$1:$I$1001,0)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IF(_xlfn.XLOOKUP(C43,customers!$A$1:$A$1001,customers!$C$1:$C$1001,)=0,"",_xlfn.XLOOKUP(C43,customers!$A$1:$A$1001,customers!$C$1:$C$1001,))</f>
        <v>lyeoland15@pbs.org</v>
      </c>
      <c r="H43" s="2" t="str" cm="1">
        <f t="array" ref="H43">_xlfn.XLOOKUP(C43,customers!$A$1:$A$1001,customers!$G$1:$G$1001,customers!A42:H1015)</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7">
        <f t="shared" si="0"/>
        <v>7.29</v>
      </c>
      <c r="N43" t="str">
        <f t="shared" si="1"/>
        <v>Excelsa</v>
      </c>
      <c r="O43" t="str">
        <f t="shared" si="2"/>
        <v>Dark</v>
      </c>
      <c r="P43" t="str">
        <f>_xlfn.XLOOKUP(C43,customers!$A$1:$A$1001,customers!$I$1:$I$1001,0)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IF(_xlfn.XLOOKUP(C44,customers!$A$1:$A$1001,customers!$C$1:$C$1001,)=0,"",_xlfn.XLOOKUP(C44,customers!$A$1:$A$1001,customers!$C$1:$C$1001,))</f>
        <v>atolworthy16@toplist.cz</v>
      </c>
      <c r="H44" s="2" t="str" cm="1">
        <f t="array" ref="H44">_xlfn.XLOOKUP(C44,customers!$A$1:$A$1001,customers!$G$1:$G$1001,customers!A43:H1016)</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7">
        <f t="shared" si="0"/>
        <v>8.0549999999999997</v>
      </c>
      <c r="N44" t="str">
        <f t="shared" si="1"/>
        <v>Robusta</v>
      </c>
      <c r="O44" t="str">
        <f t="shared" si="2"/>
        <v>Dark</v>
      </c>
      <c r="P44" t="str">
        <f>_xlfn.XLOOKUP(C44,customers!$A$1:$A$1001,customers!$I$1:$I$1001,0)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IF(_xlfn.XLOOKUP(C45,customers!$A$1:$A$1001,customers!$C$1:$C$1001,)=0,"",_xlfn.XLOOKUP(C45,customers!$A$1:$A$1001,customers!$C$1:$C$1001,))</f>
        <v/>
      </c>
      <c r="H45" s="2" t="str" cm="1">
        <f t="array" ref="H45">_xlfn.XLOOKUP(C45,customers!$A$1:$A$1001,customers!$G$1:$G$1001,customers!A44:H1017)</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7">
        <f t="shared" si="0"/>
        <v>72.91</v>
      </c>
      <c r="N45" t="str">
        <f t="shared" si="1"/>
        <v>Librica</v>
      </c>
      <c r="O45" t="str">
        <f t="shared" si="2"/>
        <v>Large</v>
      </c>
      <c r="P45" t="str">
        <f>_xlfn.XLOOKUP(C45,customers!$A$1:$A$1001,customers!$I$1:$I$1001,0)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IF(_xlfn.XLOOKUP(C46,customers!$A$1:$A$1001,customers!$C$1:$C$1001,)=0,"",_xlfn.XLOOKUP(C46,customers!$A$1:$A$1001,customers!$C$1:$C$1001,))</f>
        <v>obaudassi18@seesaa.net</v>
      </c>
      <c r="H46" s="2" t="str" cm="1">
        <f t="array" ref="H46">_xlfn.XLOOKUP(C46,customers!$A$1:$A$1001,customers!$G$1:$G$1001,customers!A45:H1018)</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7">
        <f t="shared" si="0"/>
        <v>16.5</v>
      </c>
      <c r="N46" t="str">
        <f t="shared" si="1"/>
        <v>Excelsa</v>
      </c>
      <c r="O46" t="str">
        <f t="shared" si="2"/>
        <v>Medium</v>
      </c>
      <c r="P46" t="str">
        <f>_xlfn.XLOOKUP(C46,customers!$A$1:$A$1001,customers!$I$1:$I$1001,0)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IF(_xlfn.XLOOKUP(C47,customers!$A$1:$A$1001,customers!$C$1:$C$1001,)=0,"",_xlfn.XLOOKUP(C47,customers!$A$1:$A$1001,customers!$C$1:$C$1001,))</f>
        <v>pkingsbury19@comcast.net</v>
      </c>
      <c r="H47" s="2" t="str" cm="1">
        <f t="array" ref="H47">_xlfn.XLOOKUP(C47,customers!$A$1:$A$1001,customers!$G$1:$G$1001,customers!A46:H1019)</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7">
        <f t="shared" si="0"/>
        <v>178.70999999999998</v>
      </c>
      <c r="N47" t="str">
        <f t="shared" si="1"/>
        <v>Librica</v>
      </c>
      <c r="O47" t="str">
        <f t="shared" si="2"/>
        <v>Dark</v>
      </c>
      <c r="P47" t="str">
        <f>_xlfn.XLOOKUP(C47,customers!$A$1:$A$1001,customers!$I$1:$I$1001,0)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IF(_xlfn.XLOOKUP(C48,customers!$A$1:$A$1001,customers!$C$1:$C$1001,)=0,"",_xlfn.XLOOKUP(C48,customers!$A$1:$A$1001,customers!$C$1:$C$1001,))</f>
        <v/>
      </c>
      <c r="H48" s="2" t="str" cm="1">
        <f t="array" ref="H48">_xlfn.XLOOKUP(C48,customers!$A$1:$A$1001,customers!$G$1:$G$1001,customers!A47:H1020)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7">
        <f t="shared" si="0"/>
        <v>63.249999999999993</v>
      </c>
      <c r="N48" t="str">
        <f t="shared" si="1"/>
        <v>Excelsa</v>
      </c>
      <c r="O48" t="str">
        <f t="shared" si="2"/>
        <v>Medium</v>
      </c>
      <c r="P48" t="str">
        <f>_xlfn.XLOOKUP(C48,customers!$A$1:$A$1001,customers!$I$1:$I$1001,0)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IF(_xlfn.XLOOKUP(C49,customers!$A$1:$A$1001,customers!$C$1:$C$1001,)=0,"",_xlfn.XLOOKUP(C49,customers!$A$1:$A$1001,customers!$C$1:$C$1001,))</f>
        <v>acurley1b@hao123.com</v>
      </c>
      <c r="H49" s="2" t="str" cm="1">
        <f t="array" ref="H49">_xlfn.XLOOKUP(C49,customers!$A$1:$A$1001,customers!$G$1:$G$1001,customers!A48:H1021)</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7">
        <f t="shared" si="0"/>
        <v>7.77</v>
      </c>
      <c r="N49" t="str">
        <f t="shared" si="1"/>
        <v>Arabic</v>
      </c>
      <c r="O49" t="str">
        <f t="shared" si="2"/>
        <v>Large</v>
      </c>
      <c r="P49" t="str">
        <f>_xlfn.XLOOKUP(C49,customers!$A$1:$A$1001,customers!$I$1:$I$1001,0)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IF(_xlfn.XLOOKUP(C50,customers!$A$1:$A$1001,customers!$C$1:$C$1001,)=0,"",_xlfn.XLOOKUP(C50,customers!$A$1:$A$1001,customers!$C$1:$C$1001,))</f>
        <v>rmcgilvary1c@tamu.edu</v>
      </c>
      <c r="H50" s="2" t="str" cm="1">
        <f t="array" ref="H50">_xlfn.XLOOKUP(C50,customers!$A$1:$A$1001,customers!$G$1:$G$1001,customers!A49:H1022)</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7">
        <f t="shared" si="0"/>
        <v>91.539999999999992</v>
      </c>
      <c r="N50" t="str">
        <f t="shared" si="1"/>
        <v>Arabic</v>
      </c>
      <c r="O50" t="str">
        <f t="shared" si="2"/>
        <v>Dark</v>
      </c>
      <c r="P50" t="str">
        <f>_xlfn.XLOOKUP(C50,customers!$A$1:$A$1001,customers!$I$1:$I$1001,0)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IF(_xlfn.XLOOKUP(C51,customers!$A$1:$A$1001,customers!$C$1:$C$1001,)=0,"",_xlfn.XLOOKUP(C51,customers!$A$1:$A$1001,customers!$C$1:$C$1001,))</f>
        <v>ipikett1d@xinhuanet.com</v>
      </c>
      <c r="H51" s="2" t="str" cm="1">
        <f t="array" ref="H51">_xlfn.XLOOKUP(C51,customers!$A$1:$A$1001,customers!$G$1:$G$1001,customers!A50:H1023)</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7">
        <f t="shared" si="0"/>
        <v>38.849999999999994</v>
      </c>
      <c r="N51" t="str">
        <f t="shared" si="1"/>
        <v>Arabic</v>
      </c>
      <c r="O51" t="str">
        <f t="shared" si="2"/>
        <v>Large</v>
      </c>
      <c r="P51" t="str">
        <f>_xlfn.XLOOKUP(C51,customers!$A$1:$A$1001,customers!$I$1:$I$1001,0)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IF(_xlfn.XLOOKUP(C52,customers!$A$1:$A$1001,customers!$C$1:$C$1001,)=0,"",_xlfn.XLOOKUP(C52,customers!$A$1:$A$1001,customers!$C$1:$C$1001,))</f>
        <v>ibouldon1e@gizmodo.com</v>
      </c>
      <c r="H52" s="2" t="str" cm="1">
        <f t="array" ref="H52">_xlfn.XLOOKUP(C52,customers!$A$1:$A$1001,customers!$G$1:$G$1001,customers!A51:H1024)</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7">
        <f t="shared" si="0"/>
        <v>15.54</v>
      </c>
      <c r="N52" t="str">
        <f t="shared" si="1"/>
        <v>Librica</v>
      </c>
      <c r="O52" t="str">
        <f t="shared" si="2"/>
        <v>Dark</v>
      </c>
      <c r="P52" t="str">
        <f>_xlfn.XLOOKUP(C52,customers!$A$1:$A$1001,customers!$I$1:$I$1001,0)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IF(_xlfn.XLOOKUP(C53,customers!$A$1:$A$1001,customers!$C$1:$C$1001,)=0,"",_xlfn.XLOOKUP(C53,customers!$A$1:$A$1001,customers!$C$1:$C$1001,))</f>
        <v>kflanders1f@over-blog.com</v>
      </c>
      <c r="H53" s="2" t="str" cm="1">
        <f t="array" ref="H53">_xlfn.XLOOKUP(C53,customers!$A$1:$A$1001,customers!$G$1:$G$1001,customers!A52:H1025)</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7">
        <f t="shared" si="0"/>
        <v>145.82</v>
      </c>
      <c r="N53" t="str">
        <f t="shared" si="1"/>
        <v>Librica</v>
      </c>
      <c r="O53" t="str">
        <f t="shared" si="2"/>
        <v>Large</v>
      </c>
      <c r="P53" t="str">
        <f>_xlfn.XLOOKUP(C53,customers!$A$1:$A$1001,customers!$I$1:$I$1001,0)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IF(_xlfn.XLOOKUP(C54,customers!$A$1:$A$1001,customers!$C$1:$C$1001,)=0,"",_xlfn.XLOOKUP(C54,customers!$A$1:$A$1001,customers!$C$1:$C$1001,))</f>
        <v>hmattioli1g@webmd.com</v>
      </c>
      <c r="H54" s="2" t="str" cm="1">
        <f t="array" ref="H54">_xlfn.XLOOKUP(C54,customers!$A$1:$A$1001,customers!$G$1:$G$1001,customers!A53:H1026)</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7">
        <f t="shared" si="0"/>
        <v>29.849999999999998</v>
      </c>
      <c r="N54" t="str">
        <f t="shared" si="1"/>
        <v>Robusta</v>
      </c>
      <c r="O54" t="str">
        <f t="shared" si="2"/>
        <v>Medium</v>
      </c>
      <c r="P54" t="str">
        <f>_xlfn.XLOOKUP(C54,customers!$A$1:$A$1001,customers!$I$1:$I$1001,0)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IF(_xlfn.XLOOKUP(C55,customers!$A$1:$A$1001,customers!$C$1:$C$1001,)=0,"",_xlfn.XLOOKUP(C55,customers!$A$1:$A$1001,customers!$C$1:$C$1001,))</f>
        <v>hmattioli1g@webmd.com</v>
      </c>
      <c r="H55" s="2" t="str" cm="1">
        <f t="array" ref="H55">_xlfn.XLOOKUP(C55,customers!$A$1:$A$1001,customers!$G$1:$G$1001,customers!A54:H1027)</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7">
        <f t="shared" si="0"/>
        <v>72.91</v>
      </c>
      <c r="N55" t="str">
        <f t="shared" si="1"/>
        <v>Librica</v>
      </c>
      <c r="O55" t="str">
        <f t="shared" si="2"/>
        <v>Large</v>
      </c>
      <c r="P55" t="str">
        <f>_xlfn.XLOOKUP(C55,customers!$A$1:$A$1001,customers!$I$1:$I$1001,0)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IF(_xlfn.XLOOKUP(C56,customers!$A$1:$A$1001,customers!$C$1:$C$1001,)=0,"",_xlfn.XLOOKUP(C56,customers!$A$1:$A$1001,customers!$C$1:$C$1001,))</f>
        <v>agillard1i@issuu.com</v>
      </c>
      <c r="H56" s="2" t="str" cm="1">
        <f t="array" ref="H56">_xlfn.XLOOKUP(C56,customers!$A$1:$A$1001,customers!$G$1:$G$1001,customers!A55:H1028)</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7">
        <f t="shared" si="0"/>
        <v>72.75</v>
      </c>
      <c r="N56" t="str">
        <f t="shared" si="1"/>
        <v>Librica</v>
      </c>
      <c r="O56" t="str">
        <f t="shared" si="2"/>
        <v>Medium</v>
      </c>
      <c r="P56" t="str">
        <f>_xlfn.XLOOKUP(C56,customers!$A$1:$A$1001,customers!$I$1:$I$1001,0)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IF(_xlfn.XLOOKUP(C57,customers!$A$1:$A$1001,customers!$C$1:$C$1001,)=0,"",_xlfn.XLOOKUP(C57,customers!$A$1:$A$1001,customers!$C$1:$C$1001,))</f>
        <v/>
      </c>
      <c r="H57" s="2" t="str" cm="1">
        <f t="array" ref="H57">_xlfn.XLOOKUP(C57,customers!$A$1:$A$1001,customers!$G$1:$G$1001,customers!A56:H1029)</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7">
        <f t="shared" si="0"/>
        <v>47.55</v>
      </c>
      <c r="N57" t="str">
        <f t="shared" si="1"/>
        <v>Librica</v>
      </c>
      <c r="O57" t="str">
        <f t="shared" si="2"/>
        <v>Large</v>
      </c>
      <c r="P57" t="str">
        <f>_xlfn.XLOOKUP(C57,customers!$A$1:$A$1001,customers!$I$1:$I$1001,0)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IF(_xlfn.XLOOKUP(C58,customers!$A$1:$A$1001,customers!$C$1:$C$1001,)=0,"",_xlfn.XLOOKUP(C58,customers!$A$1:$A$1001,customers!$C$1:$C$1001,))</f>
        <v>tgrizard1k@odnoklassniki.ru</v>
      </c>
      <c r="H58" s="2" t="str" cm="1">
        <f t="array" ref="H58">_xlfn.XLOOKUP(C58,customers!$A$1:$A$1001,customers!$G$1:$G$1001,customers!A57:H1030)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7">
        <f t="shared" si="0"/>
        <v>10.935</v>
      </c>
      <c r="N58" t="str">
        <f t="shared" si="1"/>
        <v>Excelsa</v>
      </c>
      <c r="O58" t="str">
        <f t="shared" si="2"/>
        <v>Dark</v>
      </c>
      <c r="P58" t="str">
        <f>_xlfn.XLOOKUP(C58,customers!$A$1:$A$1001,customers!$I$1:$I$1001,0)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IF(_xlfn.XLOOKUP(C59,customers!$A$1:$A$1001,customers!$C$1:$C$1001,)=0,"",_xlfn.XLOOKUP(C59,customers!$A$1:$A$1001,customers!$C$1:$C$1001,))</f>
        <v>rrelton1l@stanford.edu</v>
      </c>
      <c r="H59" s="2" t="str" cm="1">
        <f t="array" ref="H59">_xlfn.XLOOKUP(C59,customers!$A$1:$A$1001,customers!$G$1:$G$1001,customers!A58:H1031)</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7">
        <f t="shared" si="0"/>
        <v>59.4</v>
      </c>
      <c r="N59" t="str">
        <f t="shared" si="1"/>
        <v>Excelsa</v>
      </c>
      <c r="O59" t="str">
        <f t="shared" si="2"/>
        <v>Large</v>
      </c>
      <c r="P59" t="str">
        <f>_xlfn.XLOOKUP(C59,customers!$A$1:$A$1001,customers!$I$1:$I$1001,0)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IF(_xlfn.XLOOKUP(C60,customers!$A$1:$A$1001,customers!$C$1:$C$1001,)=0,"",_xlfn.XLOOKUP(C60,customers!$A$1:$A$1001,customers!$C$1:$C$1001,))</f>
        <v/>
      </c>
      <c r="H60" s="2" t="str" cm="1">
        <f t="array" ref="H60">_xlfn.XLOOKUP(C60,customers!$A$1:$A$1001,customers!$G$1:$G$1001,customers!A59:H1032)</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7">
        <f t="shared" si="0"/>
        <v>89.35499999999999</v>
      </c>
      <c r="N60" t="str">
        <f t="shared" si="1"/>
        <v>Librica</v>
      </c>
      <c r="O60" t="str">
        <f t="shared" si="2"/>
        <v>Dark</v>
      </c>
      <c r="P60" t="str">
        <f>_xlfn.XLOOKUP(C60,customers!$A$1:$A$1001,customers!$I$1:$I$1001,0)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IF(_xlfn.XLOOKUP(C61,customers!$A$1:$A$1001,customers!$C$1:$C$1001,)=0,"",_xlfn.XLOOKUP(C61,customers!$A$1:$A$1001,customers!$C$1:$C$1001,))</f>
        <v>sgilroy1n@eepurl.com</v>
      </c>
      <c r="H61" s="2" t="str" cm="1">
        <f t="array" ref="H61">_xlfn.XLOOKUP(C61,customers!$A$1:$A$1001,customers!$G$1:$G$1001,customers!A60:H1033)</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7">
        <f t="shared" si="0"/>
        <v>26.19</v>
      </c>
      <c r="N61" t="str">
        <f t="shared" si="1"/>
        <v>Librica</v>
      </c>
      <c r="O61" t="str">
        <f t="shared" si="2"/>
        <v>Medium</v>
      </c>
      <c r="P61" t="str">
        <f>_xlfn.XLOOKUP(C61,customers!$A$1:$A$1001,customers!$I$1:$I$1001,0)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IF(_xlfn.XLOOKUP(C62,customers!$A$1:$A$1001,customers!$C$1:$C$1001,)=0,"",_xlfn.XLOOKUP(C62,customers!$A$1:$A$1001,customers!$C$1:$C$1001,))</f>
        <v>ccottingham1o@wikipedia.org</v>
      </c>
      <c r="H62" s="2" t="str" cm="1">
        <f t="array" ref="H62">_xlfn.XLOOKUP(C62,customers!$A$1:$A$1001,customers!$G$1:$G$1001,customers!A61:H1034)</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7">
        <f t="shared" si="0"/>
        <v>114.42499999999998</v>
      </c>
      <c r="N62" t="str">
        <f t="shared" si="1"/>
        <v>Arabic</v>
      </c>
      <c r="O62" t="str">
        <f t="shared" si="2"/>
        <v>Dark</v>
      </c>
      <c r="P62" t="str">
        <f>_xlfn.XLOOKUP(C62,customers!$A$1:$A$1001,customers!$I$1:$I$1001,0)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IF(_xlfn.XLOOKUP(C63,customers!$A$1:$A$1001,customers!$C$1:$C$1001,)=0,"",_xlfn.XLOOKUP(C63,customers!$A$1:$A$1001,customers!$C$1:$C$1001,))</f>
        <v/>
      </c>
      <c r="H63" s="2" t="str" cm="1">
        <f t="array" ref="H63">_xlfn.XLOOKUP(C63,customers!$A$1:$A$1001,customers!$G$1:$G$1001,customers!A62:H1035)</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7">
        <f t="shared" si="0"/>
        <v>26.849999999999994</v>
      </c>
      <c r="N63" t="str">
        <f t="shared" si="1"/>
        <v>Robusta</v>
      </c>
      <c r="O63" t="str">
        <f t="shared" si="2"/>
        <v>Dark</v>
      </c>
      <c r="P63" t="str">
        <f>_xlfn.XLOOKUP(C63,customers!$A$1:$A$1001,customers!$I$1:$I$1001,0)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IF(_xlfn.XLOOKUP(C64,customers!$A$1:$A$1001,customers!$C$1:$C$1001,)=0,"",_xlfn.XLOOKUP(C64,customers!$A$1:$A$1001,customers!$C$1:$C$1001,))</f>
        <v/>
      </c>
      <c r="H64" s="2" t="str" cm="1">
        <f t="array" ref="H64">_xlfn.XLOOKUP(C64,customers!$A$1:$A$1001,customers!$G$1:$G$1001,customers!A63:H1036)</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7">
        <f t="shared" si="0"/>
        <v>23.774999999999999</v>
      </c>
      <c r="N64" t="str">
        <f t="shared" si="1"/>
        <v>Librica</v>
      </c>
      <c r="O64" t="str">
        <f t="shared" si="2"/>
        <v>Large</v>
      </c>
      <c r="P64" t="str">
        <f>_xlfn.XLOOKUP(C64,customers!$A$1:$A$1001,customers!$I$1:$I$1001,0)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IF(_xlfn.XLOOKUP(C65,customers!$A$1:$A$1001,customers!$C$1:$C$1001,)=0,"",_xlfn.XLOOKUP(C65,customers!$A$1:$A$1001,customers!$C$1:$C$1001,))</f>
        <v>adykes1r@eventbrite.com</v>
      </c>
      <c r="H65" s="2" t="str" cm="1">
        <f t="array" ref="H65">_xlfn.XLOOKUP(C65,customers!$A$1:$A$1001,customers!$G$1:$G$1001,customers!A64:H1037)</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7">
        <f t="shared" si="0"/>
        <v>6.75</v>
      </c>
      <c r="N65" t="str">
        <f t="shared" si="1"/>
        <v>Arabic</v>
      </c>
      <c r="O65" t="str">
        <f t="shared" si="2"/>
        <v>Medium</v>
      </c>
      <c r="P65" t="str">
        <f>_xlfn.XLOOKUP(C65,customers!$A$1:$A$1001,customers!$I$1:$I$1001,0)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IF(_xlfn.XLOOKUP(C66,customers!$A$1:$A$1001,customers!$C$1:$C$1001,)=0,"",_xlfn.XLOOKUP(C66,customers!$A$1:$A$1001,customers!$C$1:$C$1001,))</f>
        <v/>
      </c>
      <c r="H66" s="2" t="str" cm="1">
        <f t="array" ref="H66">_xlfn.XLOOKUP(C66,customers!$A$1:$A$1001,customers!$G$1:$G$1001,customers!A65:H1038)</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7">
        <f t="shared" si="0"/>
        <v>35.82</v>
      </c>
      <c r="N66" t="str">
        <f t="shared" si="1"/>
        <v>Robusta</v>
      </c>
      <c r="O66" t="str">
        <f t="shared" si="2"/>
        <v>Medium</v>
      </c>
      <c r="P66" t="str">
        <f>_xlfn.XLOOKUP(C66,customers!$A$1:$A$1001,customers!$I$1:$I$1001,0)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IF(_xlfn.XLOOKUP(C67,customers!$A$1:$A$1001,customers!$C$1:$C$1001,)=0,"",_xlfn.XLOOKUP(C67,customers!$A$1:$A$1001,customers!$C$1:$C$1001,))</f>
        <v>acockrem1t@engadget.com</v>
      </c>
      <c r="H67" s="2" t="str" cm="1">
        <f t="array" ref="H67">_xlfn.XLOOKUP(C67,customers!$A$1:$A$1001,customers!$G$1:$G$1001,customers!A66:H1039)</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7">
        <f t="shared" ref="M67:M130" si="3">L67*E67</f>
        <v>82.339999999999989</v>
      </c>
      <c r="N67" t="str">
        <f t="shared" ref="N67:N130" si="4">IF(I67="Rob","Robusta",IF(I67="Exc","Excelsa",IF(I67="Ara","Arabic",IF(I67="Lib","Librica"))))</f>
        <v>Robusta</v>
      </c>
      <c r="O67" t="str">
        <f t="shared" ref="O67:O130" si="5">IF(J67="M","Medium",IF(J67="L","Large",IF(J67="D","Dark")))</f>
        <v>Dark</v>
      </c>
      <c r="P67" t="str">
        <f>_xlfn.XLOOKUP(C67,customers!$A$1:$A$1001,customers!$I$1:$I$1001,0)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IF(_xlfn.XLOOKUP(C68,customers!$A$1:$A$1001,customers!$C$1:$C$1001,)=0,"",_xlfn.XLOOKUP(C68,customers!$A$1:$A$1001,customers!$C$1:$C$1001,))</f>
        <v>bumpleby1u@soundcloud.com</v>
      </c>
      <c r="H68" s="2" t="str" cm="1">
        <f t="array" ref="H68">_xlfn.XLOOKUP(C68,customers!$A$1:$A$1001,customers!$G$1:$G$1001,customers!A67:H1040)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7">
        <f t="shared" si="3"/>
        <v>7.169999999999999</v>
      </c>
      <c r="N68" t="str">
        <f t="shared" si="4"/>
        <v>Robusta</v>
      </c>
      <c r="O68" t="str">
        <f t="shared" si="5"/>
        <v>Large</v>
      </c>
      <c r="P68" t="str">
        <f>_xlfn.XLOOKUP(C68,customers!$A$1:$A$1001,customers!$I$1:$I$1001,0)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IF(_xlfn.XLOOKUP(C69,customers!$A$1:$A$1001,customers!$C$1:$C$1001,)=0,"",_xlfn.XLOOKUP(C69,customers!$A$1:$A$1001,customers!$C$1:$C$1001,))</f>
        <v>nsaleway1v@dedecms.com</v>
      </c>
      <c r="H69" s="2" t="str" cm="1">
        <f t="array" ref="H69">_xlfn.XLOOKUP(C69,customers!$A$1:$A$1001,customers!$G$1:$G$1001,customers!A68:H1041)</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7">
        <f t="shared" si="3"/>
        <v>9.51</v>
      </c>
      <c r="N69" t="str">
        <f t="shared" si="4"/>
        <v>Librica</v>
      </c>
      <c r="O69" t="str">
        <f t="shared" si="5"/>
        <v>Large</v>
      </c>
      <c r="P69" t="str">
        <f>_xlfn.XLOOKUP(C69,customers!$A$1:$A$1001,customers!$I$1:$I$1001,0)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IF(_xlfn.XLOOKUP(C70,customers!$A$1:$A$1001,customers!$C$1:$C$1001,)=0,"",_xlfn.XLOOKUP(C70,customers!$A$1:$A$1001,customers!$C$1:$C$1001,))</f>
        <v>hgoulter1w@abc.net.au</v>
      </c>
      <c r="H70" s="2" t="str" cm="1">
        <f t="array" ref="H70">_xlfn.XLOOKUP(C70,customers!$A$1:$A$1001,customers!$G$1:$G$1001,customers!A69:H1042)</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7">
        <f t="shared" si="3"/>
        <v>2.9849999999999999</v>
      </c>
      <c r="N70" t="str">
        <f t="shared" si="4"/>
        <v>Robusta</v>
      </c>
      <c r="O70" t="str">
        <f t="shared" si="5"/>
        <v>Medium</v>
      </c>
      <c r="P70" t="str">
        <f>_xlfn.XLOOKUP(C70,customers!$A$1:$A$1001,customers!$I$1:$I$1001,0)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IF(_xlfn.XLOOKUP(C71,customers!$A$1:$A$1001,customers!$C$1:$C$1001,)=0,"",_xlfn.XLOOKUP(C71,customers!$A$1:$A$1001,customers!$C$1:$C$1001,))</f>
        <v>grizzello1x@symantec.com</v>
      </c>
      <c r="H71" s="2" t="str" cm="1">
        <f t="array" ref="H71">_xlfn.XLOOKUP(C71,customers!$A$1:$A$1001,customers!$G$1:$G$1001,customers!A70:H1043)</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7">
        <f t="shared" si="3"/>
        <v>59.699999999999996</v>
      </c>
      <c r="N71" t="str">
        <f t="shared" si="4"/>
        <v>Robusta</v>
      </c>
      <c r="O71" t="str">
        <f t="shared" si="5"/>
        <v>Medium</v>
      </c>
      <c r="P71" t="str">
        <f>_xlfn.XLOOKUP(C71,customers!$A$1:$A$1001,customers!$I$1:$I$1001,0)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IF(_xlfn.XLOOKUP(C72,customers!$A$1:$A$1001,customers!$C$1:$C$1001,)=0,"",_xlfn.XLOOKUP(C72,customers!$A$1:$A$1001,customers!$C$1:$C$1001,))</f>
        <v>slist1y@mapquest.com</v>
      </c>
      <c r="H72" s="2" t="str" cm="1">
        <f t="array" ref="H72">_xlfn.XLOOKUP(C72,customers!$A$1:$A$1001,customers!$G$1:$G$1001,customers!A71:H1044)</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7">
        <f t="shared" si="3"/>
        <v>136.61999999999998</v>
      </c>
      <c r="N72" t="str">
        <f t="shared" si="4"/>
        <v>Excelsa</v>
      </c>
      <c r="O72" t="str">
        <f t="shared" si="5"/>
        <v>Large</v>
      </c>
      <c r="P72" t="str">
        <f>_xlfn.XLOOKUP(C72,customers!$A$1:$A$1001,customers!$I$1:$I$1001,0)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IF(_xlfn.XLOOKUP(C73,customers!$A$1:$A$1001,customers!$C$1:$C$1001,)=0,"",_xlfn.XLOOKUP(C73,customers!$A$1:$A$1001,customers!$C$1:$C$1001,))</f>
        <v>sedmondson1z@theguardian.com</v>
      </c>
      <c r="H73" s="2" t="str" cm="1">
        <f t="array" ref="H73">_xlfn.XLOOKUP(C73,customers!$A$1:$A$1001,customers!$G$1:$G$1001,customers!A72:H1045)</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7">
        <f t="shared" si="3"/>
        <v>9.51</v>
      </c>
      <c r="N73" t="str">
        <f t="shared" si="4"/>
        <v>Librica</v>
      </c>
      <c r="O73" t="str">
        <f t="shared" si="5"/>
        <v>Large</v>
      </c>
      <c r="P73" t="str">
        <f>_xlfn.XLOOKUP(C73,customers!$A$1:$A$1001,customers!$I$1:$I$1001,0)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IF(_xlfn.XLOOKUP(C74,customers!$A$1:$A$1001,customers!$C$1:$C$1001,)=0,"",_xlfn.XLOOKUP(C74,customers!$A$1:$A$1001,customers!$C$1:$C$1001,))</f>
        <v/>
      </c>
      <c r="H74" s="2" t="str" cm="1">
        <f t="array" ref="H74">_xlfn.XLOOKUP(C74,customers!$A$1:$A$1001,customers!$G$1:$G$1001,customers!A73:H1046)</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7">
        <f t="shared" si="3"/>
        <v>77.624999999999986</v>
      </c>
      <c r="N74" t="str">
        <f t="shared" si="4"/>
        <v>Arabic</v>
      </c>
      <c r="O74" t="str">
        <f t="shared" si="5"/>
        <v>Medium</v>
      </c>
      <c r="P74" t="str">
        <f>_xlfn.XLOOKUP(C74,customers!$A$1:$A$1001,customers!$I$1:$I$1001,0)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IF(_xlfn.XLOOKUP(C75,customers!$A$1:$A$1001,customers!$C$1:$C$1001,)=0,"",_xlfn.XLOOKUP(C75,customers!$A$1:$A$1001,customers!$C$1:$C$1001,))</f>
        <v/>
      </c>
      <c r="H75" s="2" t="str" cm="1">
        <f t="array" ref="H75">_xlfn.XLOOKUP(C75,customers!$A$1:$A$1001,customers!$G$1:$G$1001,customers!A74:H1047)</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7">
        <f t="shared" si="3"/>
        <v>21.825000000000003</v>
      </c>
      <c r="N75" t="str">
        <f t="shared" si="4"/>
        <v>Librica</v>
      </c>
      <c r="O75" t="str">
        <f t="shared" si="5"/>
        <v>Medium</v>
      </c>
      <c r="P75" t="str">
        <f>_xlfn.XLOOKUP(C75,customers!$A$1:$A$1001,customers!$I$1:$I$1001,0)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IF(_xlfn.XLOOKUP(C76,customers!$A$1:$A$1001,customers!$C$1:$C$1001,)=0,"",_xlfn.XLOOKUP(C76,customers!$A$1:$A$1001,customers!$C$1:$C$1001,))</f>
        <v>jrangall22@newsvine.com</v>
      </c>
      <c r="H76" s="2" t="str" cm="1">
        <f t="array" ref="H76">_xlfn.XLOOKUP(C76,customers!$A$1:$A$1001,customers!$G$1:$G$1001,customers!A75:H1048)</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7">
        <f t="shared" si="3"/>
        <v>17.82</v>
      </c>
      <c r="N76" t="str">
        <f t="shared" si="4"/>
        <v>Excelsa</v>
      </c>
      <c r="O76" t="str">
        <f t="shared" si="5"/>
        <v>Large</v>
      </c>
      <c r="P76" t="str">
        <f>_xlfn.XLOOKUP(C76,customers!$A$1:$A$1001,customers!$I$1:$I$1001,0)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IF(_xlfn.XLOOKUP(C77,customers!$A$1:$A$1001,customers!$C$1:$C$1001,)=0,"",_xlfn.XLOOKUP(C77,customers!$A$1:$A$1001,customers!$C$1:$C$1001,))</f>
        <v>kboorn23@ezinearticles.com</v>
      </c>
      <c r="H77" s="2" t="str" cm="1">
        <f t="array" ref="H77">_xlfn.XLOOKUP(C77,customers!$A$1:$A$1001,customers!$G$1:$G$1001,customers!A76:H1049)</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7">
        <f t="shared" si="3"/>
        <v>53.699999999999996</v>
      </c>
      <c r="N77" t="str">
        <f t="shared" si="4"/>
        <v>Robusta</v>
      </c>
      <c r="O77" t="str">
        <f t="shared" si="5"/>
        <v>Dark</v>
      </c>
      <c r="P77" t="str">
        <f>_xlfn.XLOOKUP(C77,customers!$A$1:$A$1001,customers!$I$1:$I$1001,0)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IF(_xlfn.XLOOKUP(C78,customers!$A$1:$A$1001,customers!$C$1:$C$1001,)=0,"",_xlfn.XLOOKUP(C78,customers!$A$1:$A$1001,customers!$C$1:$C$1001,))</f>
        <v/>
      </c>
      <c r="H78" s="2" t="str" cm="1">
        <f t="array" ref="H78">_xlfn.XLOOKUP(C78,customers!$A$1:$A$1001,customers!$G$1:$G$1001,customers!A77:H1050)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7">
        <f t="shared" si="3"/>
        <v>3.5849999999999995</v>
      </c>
      <c r="N78" t="str">
        <f t="shared" si="4"/>
        <v>Robusta</v>
      </c>
      <c r="O78" t="str">
        <f t="shared" si="5"/>
        <v>Large</v>
      </c>
      <c r="P78" t="str">
        <f>_xlfn.XLOOKUP(C78,customers!$A$1:$A$1001,customers!$I$1:$I$1001,0)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IF(_xlfn.XLOOKUP(C79,customers!$A$1:$A$1001,customers!$C$1:$C$1001,)=0,"",_xlfn.XLOOKUP(C79,customers!$A$1:$A$1001,customers!$C$1:$C$1001,))</f>
        <v>celgey25@webs.com</v>
      </c>
      <c r="H79" s="2" t="str" cm="1">
        <f t="array" ref="H79">_xlfn.XLOOKUP(C79,customers!$A$1:$A$1001,customers!$G$1:$G$1001,customers!A78:H1051)</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7">
        <f t="shared" si="3"/>
        <v>7.29</v>
      </c>
      <c r="N79" t="str">
        <f t="shared" si="4"/>
        <v>Excelsa</v>
      </c>
      <c r="O79" t="str">
        <f t="shared" si="5"/>
        <v>Dark</v>
      </c>
      <c r="P79" t="str">
        <f>_xlfn.XLOOKUP(C79,customers!$A$1:$A$1001,customers!$I$1:$I$1001,0)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IF(_xlfn.XLOOKUP(C80,customers!$A$1:$A$1001,customers!$C$1:$C$1001,)=0,"",_xlfn.XLOOKUP(C80,customers!$A$1:$A$1001,customers!$C$1:$C$1001,))</f>
        <v>lmizzi26@rakuten.co.jp</v>
      </c>
      <c r="H80" s="2" t="str" cm="1">
        <f t="array" ref="H80">_xlfn.XLOOKUP(C80,customers!$A$1:$A$1001,customers!$G$1:$G$1001,customers!A79:H1052)</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7">
        <f t="shared" si="3"/>
        <v>40.5</v>
      </c>
      <c r="N80" t="str">
        <f t="shared" si="4"/>
        <v>Arabic</v>
      </c>
      <c r="O80" t="str">
        <f t="shared" si="5"/>
        <v>Medium</v>
      </c>
      <c r="P80" t="str">
        <f>_xlfn.XLOOKUP(C80,customers!$A$1:$A$1001,customers!$I$1:$I$1001,0)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IF(_xlfn.XLOOKUP(C81,customers!$A$1:$A$1001,customers!$C$1:$C$1001,)=0,"",_xlfn.XLOOKUP(C81,customers!$A$1:$A$1001,customers!$C$1:$C$1001,))</f>
        <v>cgiacomazzo27@jigsy.com</v>
      </c>
      <c r="H81" s="2" t="str" cm="1">
        <f t="array" ref="H81">_xlfn.XLOOKUP(C81,customers!$A$1:$A$1001,customers!$G$1:$G$1001,customers!A80:H1053)</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7">
        <f t="shared" si="3"/>
        <v>47.8</v>
      </c>
      <c r="N81" t="str">
        <f t="shared" si="4"/>
        <v>Robusta</v>
      </c>
      <c r="O81" t="str">
        <f t="shared" si="5"/>
        <v>Large</v>
      </c>
      <c r="P81" t="str">
        <f>_xlfn.XLOOKUP(C81,customers!$A$1:$A$1001,customers!$I$1:$I$1001,0)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IF(_xlfn.XLOOKUP(C82,customers!$A$1:$A$1001,customers!$C$1:$C$1001,)=0,"",_xlfn.XLOOKUP(C82,customers!$A$1:$A$1001,customers!$C$1:$C$1001,))</f>
        <v>aarnow28@arizona.edu</v>
      </c>
      <c r="H82" s="2" t="str" cm="1">
        <f t="array" ref="H82">_xlfn.XLOOKUP(C82,customers!$A$1:$A$1001,customers!$G$1:$G$1001,customers!A81:H1054)</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7">
        <f t="shared" si="3"/>
        <v>38.849999999999994</v>
      </c>
      <c r="N82" t="str">
        <f t="shared" si="4"/>
        <v>Arabic</v>
      </c>
      <c r="O82" t="str">
        <f t="shared" si="5"/>
        <v>Large</v>
      </c>
      <c r="P82" t="str">
        <f>_xlfn.XLOOKUP(C82,customers!$A$1:$A$1001,customers!$I$1:$I$1001,0)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IF(_xlfn.XLOOKUP(C83,customers!$A$1:$A$1001,customers!$C$1:$C$1001,)=0,"",_xlfn.XLOOKUP(C83,customers!$A$1:$A$1001,customers!$C$1:$C$1001,))</f>
        <v>syann29@senate.gov</v>
      </c>
      <c r="H83" s="2" t="str" cm="1">
        <f t="array" ref="H83">_xlfn.XLOOKUP(C83,customers!$A$1:$A$1001,customers!$G$1:$G$1001,customers!A82:H1055)</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7">
        <f t="shared" si="3"/>
        <v>109.36499999999999</v>
      </c>
      <c r="N83" t="str">
        <f t="shared" si="4"/>
        <v>Librica</v>
      </c>
      <c r="O83" t="str">
        <f t="shared" si="5"/>
        <v>Large</v>
      </c>
      <c r="P83" t="str">
        <f>_xlfn.XLOOKUP(C83,customers!$A$1:$A$1001,customers!$I$1:$I$1001,0)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IF(_xlfn.XLOOKUP(C84,customers!$A$1:$A$1001,customers!$C$1:$C$1001,)=0,"",_xlfn.XLOOKUP(C84,customers!$A$1:$A$1001,customers!$C$1:$C$1001,))</f>
        <v>bnaulls2a@tiny.cc</v>
      </c>
      <c r="H84" s="2" t="str" cm="1">
        <f t="array" ref="H84">_xlfn.XLOOKUP(C84,customers!$A$1:$A$1001,customers!$G$1:$G$1001,customers!A83:H1056)</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7">
        <f t="shared" si="3"/>
        <v>100.39499999999998</v>
      </c>
      <c r="N84" t="str">
        <f t="shared" si="4"/>
        <v>Librica</v>
      </c>
      <c r="O84" t="str">
        <f t="shared" si="5"/>
        <v>Medium</v>
      </c>
      <c r="P84" t="str">
        <f>_xlfn.XLOOKUP(C84,customers!$A$1:$A$1001,customers!$I$1:$I$1001,0)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IF(_xlfn.XLOOKUP(C85,customers!$A$1:$A$1001,customers!$C$1:$C$1001,)=0,"",_xlfn.XLOOKUP(C85,customers!$A$1:$A$1001,customers!$C$1:$C$1001,))</f>
        <v/>
      </c>
      <c r="H85" s="2" t="str" cm="1">
        <f t="array" ref="H85">_xlfn.XLOOKUP(C85,customers!$A$1:$A$1001,customers!$G$1:$G$1001,customers!A84:H1057)</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7">
        <f t="shared" si="3"/>
        <v>82.339999999999989</v>
      </c>
      <c r="N85" t="str">
        <f t="shared" si="4"/>
        <v>Robusta</v>
      </c>
      <c r="O85" t="str">
        <f t="shared" si="5"/>
        <v>Dark</v>
      </c>
      <c r="P85" t="str">
        <f>_xlfn.XLOOKUP(C85,customers!$A$1:$A$1001,customers!$I$1:$I$1001,0)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IF(_xlfn.XLOOKUP(C86,customers!$A$1:$A$1001,customers!$C$1:$C$1001,)=0,"",_xlfn.XLOOKUP(C86,customers!$A$1:$A$1001,customers!$C$1:$C$1001,))</f>
        <v>zsherewood2c@apache.org</v>
      </c>
      <c r="H86" s="2" t="str" cm="1">
        <f t="array" ref="H86">_xlfn.XLOOKUP(C86,customers!$A$1:$A$1001,customers!$G$1:$G$1001,customers!A85:H1058)</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7">
        <f t="shared" si="3"/>
        <v>9.51</v>
      </c>
      <c r="N86" t="str">
        <f t="shared" si="4"/>
        <v>Librica</v>
      </c>
      <c r="O86" t="str">
        <f t="shared" si="5"/>
        <v>Large</v>
      </c>
      <c r="P86" t="str">
        <f>_xlfn.XLOOKUP(C86,customers!$A$1:$A$1001,customers!$I$1:$I$1001,0)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IF(_xlfn.XLOOKUP(C87,customers!$A$1:$A$1001,customers!$C$1:$C$1001,)=0,"",_xlfn.XLOOKUP(C87,customers!$A$1:$A$1001,customers!$C$1:$C$1001,))</f>
        <v>jdufaire2d@fc2.com</v>
      </c>
      <c r="H87" s="2" t="str" cm="1">
        <f t="array" ref="H87">_xlfn.XLOOKUP(C87,customers!$A$1:$A$1001,customers!$G$1:$G$1001,customers!A86:H1059)</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7">
        <f t="shared" si="3"/>
        <v>89.35499999999999</v>
      </c>
      <c r="N87" t="str">
        <f t="shared" si="4"/>
        <v>Arabic</v>
      </c>
      <c r="O87" t="str">
        <f t="shared" si="5"/>
        <v>Large</v>
      </c>
      <c r="P87" t="str">
        <f>_xlfn.XLOOKUP(C87,customers!$A$1:$A$1001,customers!$I$1:$I$1001,0)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IF(_xlfn.XLOOKUP(C88,customers!$A$1:$A$1001,customers!$C$1:$C$1001,)=0,"",_xlfn.XLOOKUP(C88,customers!$A$1:$A$1001,customers!$C$1:$C$1001,))</f>
        <v>jdufaire2d@fc2.com</v>
      </c>
      <c r="H88" s="2" t="str" cm="1">
        <f t="array" ref="H88">_xlfn.XLOOKUP(C88,customers!$A$1:$A$1001,customers!$G$1:$G$1001,customers!A87:H1060)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7">
        <f t="shared" si="3"/>
        <v>11.94</v>
      </c>
      <c r="N88" t="str">
        <f t="shared" si="4"/>
        <v>Arabic</v>
      </c>
      <c r="O88" t="str">
        <f t="shared" si="5"/>
        <v>Dark</v>
      </c>
      <c r="P88" t="str">
        <f>_xlfn.XLOOKUP(C88,customers!$A$1:$A$1001,customers!$I$1:$I$1001,0)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IF(_xlfn.XLOOKUP(C89,customers!$A$1:$A$1001,customers!$C$1:$C$1001,)=0,"",_xlfn.XLOOKUP(C89,customers!$A$1:$A$1001,customers!$C$1:$C$1001,))</f>
        <v>bkeaveney2f@netlog.com</v>
      </c>
      <c r="H89" s="2" t="str" cm="1">
        <f t="array" ref="H89">_xlfn.XLOOKUP(C89,customers!$A$1:$A$1001,customers!$G$1:$G$1001,customers!A88:H1061)</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7">
        <f t="shared" si="3"/>
        <v>33.75</v>
      </c>
      <c r="N89" t="str">
        <f t="shared" si="4"/>
        <v>Arabic</v>
      </c>
      <c r="O89" t="str">
        <f t="shared" si="5"/>
        <v>Medium</v>
      </c>
      <c r="P89" t="str">
        <f>_xlfn.XLOOKUP(C89,customers!$A$1:$A$1001,customers!$I$1:$I$1001,0)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IF(_xlfn.XLOOKUP(C90,customers!$A$1:$A$1001,customers!$C$1:$C$1001,)=0,"",_xlfn.XLOOKUP(C90,customers!$A$1:$A$1001,customers!$C$1:$C$1001,))</f>
        <v>egrise2g@cargocollective.com</v>
      </c>
      <c r="H90" s="2" t="str" cm="1">
        <f t="array" ref="H90">_xlfn.XLOOKUP(C90,customers!$A$1:$A$1001,customers!$G$1:$G$1001,customers!A89:H1062)</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7">
        <f t="shared" si="3"/>
        <v>35.849999999999994</v>
      </c>
      <c r="N90" t="str">
        <f t="shared" si="4"/>
        <v>Robusta</v>
      </c>
      <c r="O90" t="str">
        <f t="shared" si="5"/>
        <v>Large</v>
      </c>
      <c r="P90" t="str">
        <f>_xlfn.XLOOKUP(C90,customers!$A$1:$A$1001,customers!$I$1:$I$1001,0)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IF(_xlfn.XLOOKUP(C91,customers!$A$1:$A$1001,customers!$C$1:$C$1001,)=0,"",_xlfn.XLOOKUP(C91,customers!$A$1:$A$1001,customers!$C$1:$C$1001,))</f>
        <v>tgottelier2h@vistaprint.com</v>
      </c>
      <c r="H91" s="2" t="str" cm="1">
        <f t="array" ref="H91">_xlfn.XLOOKUP(C91,customers!$A$1:$A$1001,customers!$G$1:$G$1001,customers!A90:H1063)</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7">
        <f t="shared" si="3"/>
        <v>77.699999999999989</v>
      </c>
      <c r="N91" t="str">
        <f t="shared" si="4"/>
        <v>Arabic</v>
      </c>
      <c r="O91" t="str">
        <f t="shared" si="5"/>
        <v>Large</v>
      </c>
      <c r="P91" t="str">
        <f>_xlfn.XLOOKUP(C91,customers!$A$1:$A$1001,customers!$I$1:$I$1001,0)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IF(_xlfn.XLOOKUP(C92,customers!$A$1:$A$1001,customers!$C$1:$C$1001,)=0,"",_xlfn.XLOOKUP(C92,customers!$A$1:$A$1001,customers!$C$1:$C$1001,))</f>
        <v/>
      </c>
      <c r="H92" s="2" t="str" cm="1">
        <f t="array" ref="H92">_xlfn.XLOOKUP(C92,customers!$A$1:$A$1001,customers!$G$1:$G$1001,customers!A91:H1064)</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7">
        <f t="shared" si="3"/>
        <v>51.8</v>
      </c>
      <c r="N92" t="str">
        <f t="shared" si="4"/>
        <v>Arabic</v>
      </c>
      <c r="O92" t="str">
        <f t="shared" si="5"/>
        <v>Large</v>
      </c>
      <c r="P92" t="str">
        <f>_xlfn.XLOOKUP(C92,customers!$A$1:$A$1001,customers!$I$1:$I$1001,0)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IF(_xlfn.XLOOKUP(C93,customers!$A$1:$A$1001,customers!$C$1:$C$1001,)=0,"",_xlfn.XLOOKUP(C93,customers!$A$1:$A$1001,customers!$C$1:$C$1001,))</f>
        <v>agreenhead2j@dailymail.co.uk</v>
      </c>
      <c r="H93" s="2" t="str" cm="1">
        <f t="array" ref="H93">_xlfn.XLOOKUP(C93,customers!$A$1:$A$1001,customers!$G$1:$G$1001,customers!A92:H1065)</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7">
        <f t="shared" si="3"/>
        <v>103.49999999999999</v>
      </c>
      <c r="N93" t="str">
        <f t="shared" si="4"/>
        <v>Arabic</v>
      </c>
      <c r="O93" t="str">
        <f t="shared" si="5"/>
        <v>Medium</v>
      </c>
      <c r="P93" t="str">
        <f>_xlfn.XLOOKUP(C93,customers!$A$1:$A$1001,customers!$I$1:$I$1001,0)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IF(_xlfn.XLOOKUP(C94,customers!$A$1:$A$1001,customers!$C$1:$C$1001,)=0,"",_xlfn.XLOOKUP(C94,customers!$A$1:$A$1001,customers!$C$1:$C$1001,))</f>
        <v/>
      </c>
      <c r="H94" s="2" t="str" cm="1">
        <f t="array" ref="H94">_xlfn.XLOOKUP(C94,customers!$A$1:$A$1001,customers!$G$1:$G$1001,customers!A93:H1066)</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7">
        <f t="shared" si="3"/>
        <v>44.55</v>
      </c>
      <c r="N94" t="str">
        <f t="shared" si="4"/>
        <v>Excelsa</v>
      </c>
      <c r="O94" t="str">
        <f t="shared" si="5"/>
        <v>Large</v>
      </c>
      <c r="P94" t="str">
        <f>_xlfn.XLOOKUP(C94,customers!$A$1:$A$1001,customers!$I$1:$I$1001,0)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IF(_xlfn.XLOOKUP(C95,customers!$A$1:$A$1001,customers!$C$1:$C$1001,)=0,"",_xlfn.XLOOKUP(C95,customers!$A$1:$A$1001,customers!$C$1:$C$1001,))</f>
        <v>elangcaster2l@spotify.com</v>
      </c>
      <c r="H95" s="2" t="str" cm="1">
        <f t="array" ref="H95">_xlfn.XLOOKUP(C95,customers!$A$1:$A$1001,customers!$G$1:$G$1001,customers!A94:H1067)</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7">
        <f t="shared" si="3"/>
        <v>35.64</v>
      </c>
      <c r="N95" t="str">
        <f t="shared" si="4"/>
        <v>Excelsa</v>
      </c>
      <c r="O95" t="str">
        <f t="shared" si="5"/>
        <v>Large</v>
      </c>
      <c r="P95" t="str">
        <f>_xlfn.XLOOKUP(C95,customers!$A$1:$A$1001,customers!$I$1:$I$1001,0)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IF(_xlfn.XLOOKUP(C96,customers!$A$1:$A$1001,customers!$C$1:$C$1001,)=0,"",_xlfn.XLOOKUP(C96,customers!$A$1:$A$1001,customers!$C$1:$C$1001,))</f>
        <v/>
      </c>
      <c r="H96" s="2" t="str" cm="1">
        <f t="array" ref="H96">_xlfn.XLOOKUP(C96,customers!$A$1:$A$1001,customers!$G$1:$G$1001,customers!A95:H1068)</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7">
        <f t="shared" si="3"/>
        <v>17.91</v>
      </c>
      <c r="N96" t="str">
        <f t="shared" si="4"/>
        <v>Arabic</v>
      </c>
      <c r="O96" t="str">
        <f t="shared" si="5"/>
        <v>Dark</v>
      </c>
      <c r="P96" t="str">
        <f>_xlfn.XLOOKUP(C96,customers!$A$1:$A$1001,customers!$I$1:$I$1001,0)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IF(_xlfn.XLOOKUP(C97,customers!$A$1:$A$1001,customers!$C$1:$C$1001,)=0,"",_xlfn.XLOOKUP(C97,customers!$A$1:$A$1001,customers!$C$1:$C$1001,))</f>
        <v>nmagauran2n@51.la</v>
      </c>
      <c r="H97" s="2" t="str" cm="1">
        <f t="array" ref="H97">_xlfn.XLOOKUP(C97,customers!$A$1:$A$1001,customers!$G$1:$G$1001,customers!A96:H1069)</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7">
        <f t="shared" si="3"/>
        <v>155.24999999999997</v>
      </c>
      <c r="N97" t="str">
        <f t="shared" si="4"/>
        <v>Arabic</v>
      </c>
      <c r="O97" t="str">
        <f t="shared" si="5"/>
        <v>Medium</v>
      </c>
      <c r="P97" t="str">
        <f>_xlfn.XLOOKUP(C97,customers!$A$1:$A$1001,customers!$I$1:$I$1001,0)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IF(_xlfn.XLOOKUP(C98,customers!$A$1:$A$1001,customers!$C$1:$C$1001,)=0,"",_xlfn.XLOOKUP(C98,customers!$A$1:$A$1001,customers!$C$1:$C$1001,))</f>
        <v>vkirdsch2o@google.fr</v>
      </c>
      <c r="H98" s="2" t="str" cm="1">
        <f t="array" ref="H98">_xlfn.XLOOKUP(C98,customers!$A$1:$A$1001,customers!$G$1:$G$1001,customers!A97:H1070)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7">
        <f t="shared" si="3"/>
        <v>5.97</v>
      </c>
      <c r="N98" t="str">
        <f t="shared" si="4"/>
        <v>Arabic</v>
      </c>
      <c r="O98" t="str">
        <f t="shared" si="5"/>
        <v>Dark</v>
      </c>
      <c r="P98" t="str">
        <f>_xlfn.XLOOKUP(C98,customers!$A$1:$A$1001,customers!$I$1:$I$1001,0)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IF(_xlfn.XLOOKUP(C99,customers!$A$1:$A$1001,customers!$C$1:$C$1001,)=0,"",_xlfn.XLOOKUP(C99,customers!$A$1:$A$1001,customers!$C$1:$C$1001,))</f>
        <v>iwhapple2p@com.com</v>
      </c>
      <c r="H99" s="2" t="str" cm="1">
        <f t="array" ref="H99">_xlfn.XLOOKUP(C99,customers!$A$1:$A$1001,customers!$G$1:$G$1001,customers!A98:H1071)</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7">
        <f t="shared" si="3"/>
        <v>13.5</v>
      </c>
      <c r="N99" t="str">
        <f t="shared" si="4"/>
        <v>Arabic</v>
      </c>
      <c r="O99" t="str">
        <f t="shared" si="5"/>
        <v>Medium</v>
      </c>
      <c r="P99" t="str">
        <f>_xlfn.XLOOKUP(C99,customers!$A$1:$A$1001,customers!$I$1:$I$1001,0)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IF(_xlfn.XLOOKUP(C100,customers!$A$1:$A$1001,customers!$C$1:$C$1001,)=0,"",_xlfn.XLOOKUP(C100,customers!$A$1:$A$1001,customers!$C$1:$C$1001,))</f>
        <v/>
      </c>
      <c r="H100" s="2" t="str" cm="1">
        <f t="array" ref="H100">_xlfn.XLOOKUP(C100,customers!$A$1:$A$1001,customers!$G$1:$G$1001,customers!A99:H1072)</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7">
        <f t="shared" si="3"/>
        <v>2.9849999999999999</v>
      </c>
      <c r="N100" t="str">
        <f t="shared" si="4"/>
        <v>Arabic</v>
      </c>
      <c r="O100" t="str">
        <f t="shared" si="5"/>
        <v>Dark</v>
      </c>
      <c r="P100" t="str">
        <f>_xlfn.XLOOKUP(C100,customers!$A$1:$A$1001,customers!$I$1:$I$1001,0)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IF(_xlfn.XLOOKUP(C101,customers!$A$1:$A$1001,customers!$C$1:$C$1001,)=0,"",_xlfn.XLOOKUP(C101,customers!$A$1:$A$1001,customers!$C$1:$C$1001,))</f>
        <v/>
      </c>
      <c r="H101" s="2" t="str" cm="1">
        <f t="array" ref="H101">_xlfn.XLOOKUP(C101,customers!$A$1:$A$1001,customers!$G$1:$G$1001,customers!A100:H1073)</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7">
        <f t="shared" si="3"/>
        <v>13.095000000000001</v>
      </c>
      <c r="N101" t="str">
        <f t="shared" si="4"/>
        <v>Librica</v>
      </c>
      <c r="O101" t="str">
        <f t="shared" si="5"/>
        <v>Medium</v>
      </c>
      <c r="P101" t="str">
        <f>_xlfn.XLOOKUP(C101,customers!$A$1:$A$1001,customers!$I$1:$I$1001,0)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IF(_xlfn.XLOOKUP(C102,customers!$A$1:$A$1001,customers!$C$1:$C$1001,)=0,"",_xlfn.XLOOKUP(C102,customers!$A$1:$A$1001,customers!$C$1:$C$1001,))</f>
        <v/>
      </c>
      <c r="H102" s="2" t="str" cm="1">
        <f t="array" ref="H102">_xlfn.XLOOKUP(C102,customers!$A$1:$A$1001,customers!$G$1:$G$1001,customers!A101:H1074)</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7">
        <f t="shared" si="3"/>
        <v>7.77</v>
      </c>
      <c r="N102" t="str">
        <f t="shared" si="4"/>
        <v>Arabic</v>
      </c>
      <c r="O102" t="str">
        <f t="shared" si="5"/>
        <v>Large</v>
      </c>
      <c r="P102" t="str">
        <f>_xlfn.XLOOKUP(C102,customers!$A$1:$A$1001,customers!$I$1:$I$1001,0)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IF(_xlfn.XLOOKUP(C103,customers!$A$1:$A$1001,customers!$C$1:$C$1001,)=0,"",_xlfn.XLOOKUP(C103,customers!$A$1:$A$1001,customers!$C$1:$C$1001,))</f>
        <v>nyoules2t@reference.com</v>
      </c>
      <c r="H103" s="2" t="str" cm="1">
        <f t="array" ref="H103">_xlfn.XLOOKUP(C103,customers!$A$1:$A$1001,customers!$G$1:$G$1001,customers!A102:H1075)</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7">
        <f t="shared" si="3"/>
        <v>148.92499999999998</v>
      </c>
      <c r="N103" t="str">
        <f t="shared" si="4"/>
        <v>Librica</v>
      </c>
      <c r="O103" t="str">
        <f t="shared" si="5"/>
        <v>Dark</v>
      </c>
      <c r="P103" t="str">
        <f>_xlfn.XLOOKUP(C103,customers!$A$1:$A$1001,customers!$I$1:$I$1001,0)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IF(_xlfn.XLOOKUP(C104,customers!$A$1:$A$1001,customers!$C$1:$C$1001,)=0,"",_xlfn.XLOOKUP(C104,customers!$A$1:$A$1001,customers!$C$1:$C$1001,))</f>
        <v>daizikovitz2u@answers.com</v>
      </c>
      <c r="H104" s="2" t="str" cm="1">
        <f t="array" ref="H104">_xlfn.XLOOKUP(C104,customers!$A$1:$A$1001,customers!$G$1:$G$1001,customers!A103:H1076)</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7">
        <f t="shared" si="3"/>
        <v>38.849999999999994</v>
      </c>
      <c r="N104" t="str">
        <f t="shared" si="4"/>
        <v>Librica</v>
      </c>
      <c r="O104" t="str">
        <f t="shared" si="5"/>
        <v>Dark</v>
      </c>
      <c r="P104" t="str">
        <f>_xlfn.XLOOKUP(C104,customers!$A$1:$A$1001,customers!$I$1:$I$1001,0)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IF(_xlfn.XLOOKUP(C105,customers!$A$1:$A$1001,customers!$C$1:$C$1001,)=0,"",_xlfn.XLOOKUP(C105,customers!$A$1:$A$1001,customers!$C$1:$C$1001,))</f>
        <v>brevel2v@fastcompany.com</v>
      </c>
      <c r="H105" s="2" t="str" cm="1">
        <f t="array" ref="H105">_xlfn.XLOOKUP(C105,customers!$A$1:$A$1001,customers!$G$1:$G$1001,customers!A104:H1077)</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7">
        <f t="shared" si="3"/>
        <v>11.94</v>
      </c>
      <c r="N105" t="str">
        <f t="shared" si="4"/>
        <v>Robusta</v>
      </c>
      <c r="O105" t="str">
        <f t="shared" si="5"/>
        <v>Medium</v>
      </c>
      <c r="P105" t="str">
        <f>_xlfn.XLOOKUP(C105,customers!$A$1:$A$1001,customers!$I$1:$I$1001,0)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IF(_xlfn.XLOOKUP(C106,customers!$A$1:$A$1001,customers!$C$1:$C$1001,)=0,"",_xlfn.XLOOKUP(C106,customers!$A$1:$A$1001,customers!$C$1:$C$1001,))</f>
        <v>epriddis2w@nationalgeographic.com</v>
      </c>
      <c r="H106" s="2" t="str" cm="1">
        <f t="array" ref="H106">_xlfn.XLOOKUP(C106,customers!$A$1:$A$1001,customers!$G$1:$G$1001,customers!A105:H1078)</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7">
        <f t="shared" si="3"/>
        <v>87.300000000000011</v>
      </c>
      <c r="N106" t="str">
        <f t="shared" si="4"/>
        <v>Librica</v>
      </c>
      <c r="O106" t="str">
        <f t="shared" si="5"/>
        <v>Medium</v>
      </c>
      <c r="P106" t="str">
        <f>_xlfn.XLOOKUP(C106,customers!$A$1:$A$1001,customers!$I$1:$I$1001,0)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IF(_xlfn.XLOOKUP(C107,customers!$A$1:$A$1001,customers!$C$1:$C$1001,)=0,"",_xlfn.XLOOKUP(C107,customers!$A$1:$A$1001,customers!$C$1:$C$1001,))</f>
        <v>qveel2x@jugem.jp</v>
      </c>
      <c r="H107" s="2" t="str" cm="1">
        <f t="array" ref="H107">_xlfn.XLOOKUP(C107,customers!$A$1:$A$1001,customers!$G$1:$G$1001,customers!A106:H1079)</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7">
        <f t="shared" si="3"/>
        <v>40.5</v>
      </c>
      <c r="N107" t="str">
        <f t="shared" si="4"/>
        <v>Arabic</v>
      </c>
      <c r="O107" t="str">
        <f t="shared" si="5"/>
        <v>Medium</v>
      </c>
      <c r="P107" t="str">
        <f>_xlfn.XLOOKUP(C107,customers!$A$1:$A$1001,customers!$I$1:$I$1001,0)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IF(_xlfn.XLOOKUP(C108,customers!$A$1:$A$1001,customers!$C$1:$C$1001,)=0,"",_xlfn.XLOOKUP(C108,customers!$A$1:$A$1001,customers!$C$1:$C$1001,))</f>
        <v>lconyers2y@twitter.com</v>
      </c>
      <c r="H108" s="2" t="str" cm="1">
        <f t="array" ref="H108">_xlfn.XLOOKUP(C108,customers!$A$1:$A$1001,customers!$G$1:$G$1001,customers!A107:H1080)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7">
        <f t="shared" si="3"/>
        <v>24.3</v>
      </c>
      <c r="N108" t="str">
        <f t="shared" si="4"/>
        <v>Excelsa</v>
      </c>
      <c r="O108" t="str">
        <f t="shared" si="5"/>
        <v>Dark</v>
      </c>
      <c r="P108" t="str">
        <f>_xlfn.XLOOKUP(C108,customers!$A$1:$A$1001,customers!$I$1:$I$1001,0)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IF(_xlfn.XLOOKUP(C109,customers!$A$1:$A$1001,customers!$C$1:$C$1001,)=0,"",_xlfn.XLOOKUP(C109,customers!$A$1:$A$1001,customers!$C$1:$C$1001,))</f>
        <v>pwye2z@dagondesign.com</v>
      </c>
      <c r="H109" s="2" t="str" cm="1">
        <f t="array" ref="H109">_xlfn.XLOOKUP(C109,customers!$A$1:$A$1001,customers!$G$1:$G$1001,customers!A108:H1081)</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7">
        <f t="shared" si="3"/>
        <v>17.91</v>
      </c>
      <c r="N109" t="str">
        <f t="shared" si="4"/>
        <v>Robusta</v>
      </c>
      <c r="O109" t="str">
        <f t="shared" si="5"/>
        <v>Medium</v>
      </c>
      <c r="P109" t="str">
        <f>_xlfn.XLOOKUP(C109,customers!$A$1:$A$1001,customers!$I$1:$I$1001,0)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IF(_xlfn.XLOOKUP(C110,customers!$A$1:$A$1001,customers!$C$1:$C$1001,)=0,"",_xlfn.XLOOKUP(C110,customers!$A$1:$A$1001,customers!$C$1:$C$1001,))</f>
        <v/>
      </c>
      <c r="H110" s="2" t="str" cm="1">
        <f t="array" ref="H110">_xlfn.XLOOKUP(C110,customers!$A$1:$A$1001,customers!$G$1:$G$1001,customers!A109:H1082)</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7">
        <f t="shared" si="3"/>
        <v>27</v>
      </c>
      <c r="N110" t="str">
        <f t="shared" si="4"/>
        <v>Arabic</v>
      </c>
      <c r="O110" t="str">
        <f t="shared" si="5"/>
        <v>Medium</v>
      </c>
      <c r="P110" t="str">
        <f>_xlfn.XLOOKUP(C110,customers!$A$1:$A$1001,customers!$I$1:$I$1001,0)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IF(_xlfn.XLOOKUP(C111,customers!$A$1:$A$1001,customers!$C$1:$C$1001,)=0,"",_xlfn.XLOOKUP(C111,customers!$A$1:$A$1001,customers!$C$1:$C$1001,))</f>
        <v>tsheryn31@mtv.com</v>
      </c>
      <c r="H111" s="2" t="str" cm="1">
        <f t="array" ref="H111">_xlfn.XLOOKUP(C111,customers!$A$1:$A$1001,customers!$G$1:$G$1001,customers!A110:H1083)</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7">
        <f t="shared" si="3"/>
        <v>7.77</v>
      </c>
      <c r="N111" t="str">
        <f t="shared" si="4"/>
        <v>Librica</v>
      </c>
      <c r="O111" t="str">
        <f t="shared" si="5"/>
        <v>Dark</v>
      </c>
      <c r="P111" t="str">
        <f>_xlfn.XLOOKUP(C111,customers!$A$1:$A$1001,customers!$I$1:$I$1001,0)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IF(_xlfn.XLOOKUP(C112,customers!$A$1:$A$1001,customers!$C$1:$C$1001,)=0,"",_xlfn.XLOOKUP(C112,customers!$A$1:$A$1001,customers!$C$1:$C$1001,))</f>
        <v>mredgrave32@cargocollective.com</v>
      </c>
      <c r="H112" s="2" t="str" cm="1">
        <f t="array" ref="H112">_xlfn.XLOOKUP(C112,customers!$A$1:$A$1001,customers!$G$1:$G$1001,customers!A111:H1084)</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7">
        <f t="shared" si="3"/>
        <v>13.365</v>
      </c>
      <c r="N112" t="str">
        <f t="shared" si="4"/>
        <v>Excelsa</v>
      </c>
      <c r="O112" t="str">
        <f t="shared" si="5"/>
        <v>Large</v>
      </c>
      <c r="P112" t="str">
        <f>_xlfn.XLOOKUP(C112,customers!$A$1:$A$1001,customers!$I$1:$I$1001,0)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IF(_xlfn.XLOOKUP(C113,customers!$A$1:$A$1001,customers!$C$1:$C$1001,)=0,"",_xlfn.XLOOKUP(C113,customers!$A$1:$A$1001,customers!$C$1:$C$1001,))</f>
        <v>bfominov33@yale.edu</v>
      </c>
      <c r="H113" s="2" t="str" cm="1">
        <f t="array" ref="H113">_xlfn.XLOOKUP(C113,customers!$A$1:$A$1001,customers!$G$1:$G$1001,customers!A112:H1085)</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7">
        <f t="shared" si="3"/>
        <v>26.849999999999994</v>
      </c>
      <c r="N113" t="str">
        <f t="shared" si="4"/>
        <v>Robusta</v>
      </c>
      <c r="O113" t="str">
        <f t="shared" si="5"/>
        <v>Dark</v>
      </c>
      <c r="P113" t="str">
        <f>_xlfn.XLOOKUP(C113,customers!$A$1:$A$1001,customers!$I$1:$I$1001,0)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IF(_xlfn.XLOOKUP(C114,customers!$A$1:$A$1001,customers!$C$1:$C$1001,)=0,"",_xlfn.XLOOKUP(C114,customers!$A$1:$A$1001,customers!$C$1:$C$1001,))</f>
        <v>scritchlow34@un.org</v>
      </c>
      <c r="H114" s="2" t="str" cm="1">
        <f t="array" ref="H114">_xlfn.XLOOKUP(C114,customers!$A$1:$A$1001,customers!$G$1:$G$1001,customers!A113:H1086)</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7">
        <f t="shared" si="3"/>
        <v>11.25</v>
      </c>
      <c r="N114" t="str">
        <f t="shared" si="4"/>
        <v>Arabic</v>
      </c>
      <c r="O114" t="str">
        <f t="shared" si="5"/>
        <v>Medium</v>
      </c>
      <c r="P114" t="str">
        <f>_xlfn.XLOOKUP(C114,customers!$A$1:$A$1001,customers!$I$1:$I$1001,0)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IF(_xlfn.XLOOKUP(C115,customers!$A$1:$A$1001,customers!$C$1:$C$1001,)=0,"",_xlfn.XLOOKUP(C115,customers!$A$1:$A$1001,customers!$C$1:$C$1001,))</f>
        <v>msteptow35@earthlink.net</v>
      </c>
      <c r="H115" s="2" t="str" cm="1">
        <f t="array" ref="H115">_xlfn.XLOOKUP(C115,customers!$A$1:$A$1001,customers!$G$1:$G$1001,customers!A114:H1087)</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7">
        <f t="shared" si="3"/>
        <v>14.55</v>
      </c>
      <c r="N115" t="str">
        <f t="shared" si="4"/>
        <v>Librica</v>
      </c>
      <c r="O115" t="str">
        <f t="shared" si="5"/>
        <v>Medium</v>
      </c>
      <c r="P115" t="str">
        <f>_xlfn.XLOOKUP(C115,customers!$A$1:$A$1001,customers!$I$1:$I$1001,0)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IF(_xlfn.XLOOKUP(C116,customers!$A$1:$A$1001,customers!$C$1:$C$1001,)=0,"",_xlfn.XLOOKUP(C116,customers!$A$1:$A$1001,customers!$C$1:$C$1001,))</f>
        <v/>
      </c>
      <c r="H116" s="2" t="str" cm="1">
        <f t="array" ref="H116">_xlfn.XLOOKUP(C116,customers!$A$1:$A$1001,customers!$G$1:$G$1001,customers!A115:H1088)</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7">
        <f t="shared" si="3"/>
        <v>14.339999999999998</v>
      </c>
      <c r="N116" t="str">
        <f t="shared" si="4"/>
        <v>Robusta</v>
      </c>
      <c r="O116" t="str">
        <f t="shared" si="5"/>
        <v>Large</v>
      </c>
      <c r="P116" t="str">
        <f>_xlfn.XLOOKUP(C116,customers!$A$1:$A$1001,customers!$I$1:$I$1001,0)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IF(_xlfn.XLOOKUP(C117,customers!$A$1:$A$1001,customers!$C$1:$C$1001,)=0,"",_xlfn.XLOOKUP(C117,customers!$A$1:$A$1001,customers!$C$1:$C$1001,))</f>
        <v>imulliner37@pinterest.com</v>
      </c>
      <c r="H117" s="2" t="str" cm="1">
        <f t="array" ref="H117">_xlfn.XLOOKUP(C117,customers!$A$1:$A$1001,customers!$G$1:$G$1001,customers!A116:H1089)</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7">
        <f t="shared" si="3"/>
        <v>15.85</v>
      </c>
      <c r="N117" t="str">
        <f t="shared" si="4"/>
        <v>Librica</v>
      </c>
      <c r="O117" t="str">
        <f t="shared" si="5"/>
        <v>Large</v>
      </c>
      <c r="P117" t="str">
        <f>_xlfn.XLOOKUP(C117,customers!$A$1:$A$1001,customers!$I$1:$I$1001,0)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IF(_xlfn.XLOOKUP(C118,customers!$A$1:$A$1001,customers!$C$1:$C$1001,)=0,"",_xlfn.XLOOKUP(C118,customers!$A$1:$A$1001,customers!$C$1:$C$1001,))</f>
        <v>gstandley38@dion.ne.jp</v>
      </c>
      <c r="H118" s="2" t="str" cm="1">
        <f t="array" ref="H118">_xlfn.XLOOKUP(C118,customers!$A$1:$A$1001,customers!$G$1:$G$1001,customers!A117:H1090)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7">
        <f t="shared" si="3"/>
        <v>19.02</v>
      </c>
      <c r="N118" t="str">
        <f t="shared" si="4"/>
        <v>Librica</v>
      </c>
      <c r="O118" t="str">
        <f t="shared" si="5"/>
        <v>Large</v>
      </c>
      <c r="P118" t="str">
        <f>_xlfn.XLOOKUP(C118,customers!$A$1:$A$1001,customers!$I$1:$I$1001,0)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IF(_xlfn.XLOOKUP(C119,customers!$A$1:$A$1001,customers!$C$1:$C$1001,)=0,"",_xlfn.XLOOKUP(C119,customers!$A$1:$A$1001,customers!$C$1:$C$1001,))</f>
        <v>bdrage39@youku.com</v>
      </c>
      <c r="H119" s="2" t="str" cm="1">
        <f t="array" ref="H119">_xlfn.XLOOKUP(C119,customers!$A$1:$A$1001,customers!$G$1:$G$1001,customers!A118:H1091)</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7">
        <f t="shared" si="3"/>
        <v>38.04</v>
      </c>
      <c r="N119" t="str">
        <f t="shared" si="4"/>
        <v>Librica</v>
      </c>
      <c r="O119" t="str">
        <f t="shared" si="5"/>
        <v>Large</v>
      </c>
      <c r="P119" t="str">
        <f>_xlfn.XLOOKUP(C119,customers!$A$1:$A$1001,customers!$I$1:$I$1001,0)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IF(_xlfn.XLOOKUP(C120,customers!$A$1:$A$1001,customers!$C$1:$C$1001,)=0,"",_xlfn.XLOOKUP(C120,customers!$A$1:$A$1001,customers!$C$1:$C$1001,))</f>
        <v>myallop3a@fema.gov</v>
      </c>
      <c r="H120" s="2" t="str" cm="1">
        <f t="array" ref="H120">_xlfn.XLOOKUP(C120,customers!$A$1:$A$1001,customers!$G$1:$G$1001,customers!A119:H1092)</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7">
        <f t="shared" si="3"/>
        <v>21.87</v>
      </c>
      <c r="N120" t="str">
        <f t="shared" si="4"/>
        <v>Excelsa</v>
      </c>
      <c r="O120" t="str">
        <f t="shared" si="5"/>
        <v>Dark</v>
      </c>
      <c r="P120" t="str">
        <f>_xlfn.XLOOKUP(C120,customers!$A$1:$A$1001,customers!$I$1:$I$1001,0)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IF(_xlfn.XLOOKUP(C121,customers!$A$1:$A$1001,customers!$C$1:$C$1001,)=0,"",_xlfn.XLOOKUP(C121,customers!$A$1:$A$1001,customers!$C$1:$C$1001,))</f>
        <v>cswitsur3b@chronoengine.com</v>
      </c>
      <c r="H121" s="2" t="str" cm="1">
        <f t="array" ref="H121">_xlfn.XLOOKUP(C121,customers!$A$1:$A$1001,customers!$G$1:$G$1001,customers!A120:H1093)</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7">
        <f t="shared" si="3"/>
        <v>4.125</v>
      </c>
      <c r="N121" t="str">
        <f t="shared" si="4"/>
        <v>Excelsa</v>
      </c>
      <c r="O121" t="str">
        <f t="shared" si="5"/>
        <v>Medium</v>
      </c>
      <c r="P121" t="str">
        <f>_xlfn.XLOOKUP(C121,customers!$A$1:$A$1001,customers!$I$1:$I$1001,0)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IF(_xlfn.XLOOKUP(C122,customers!$A$1:$A$1001,customers!$C$1:$C$1001,)=0,"",_xlfn.XLOOKUP(C122,customers!$A$1:$A$1001,customers!$C$1:$C$1001,))</f>
        <v>cswitsur3b@chronoengine.com</v>
      </c>
      <c r="H122" s="2" t="str" cm="1">
        <f t="array" ref="H122">_xlfn.XLOOKUP(C122,customers!$A$1:$A$1001,customers!$G$1:$G$1001,customers!A121:H1094)</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7">
        <f t="shared" si="3"/>
        <v>3.8849999999999998</v>
      </c>
      <c r="N122" t="str">
        <f t="shared" si="4"/>
        <v>Arabic</v>
      </c>
      <c r="O122" t="str">
        <f t="shared" si="5"/>
        <v>Large</v>
      </c>
      <c r="P122" t="str">
        <f>_xlfn.XLOOKUP(C122,customers!$A$1:$A$1001,customers!$I$1:$I$1001,0)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IF(_xlfn.XLOOKUP(C123,customers!$A$1:$A$1001,customers!$C$1:$C$1001,)=0,"",_xlfn.XLOOKUP(C123,customers!$A$1:$A$1001,customers!$C$1:$C$1001,))</f>
        <v>cswitsur3b@chronoengine.com</v>
      </c>
      <c r="H123" s="2" t="str" cm="1">
        <f t="array" ref="H123">_xlfn.XLOOKUP(C123,customers!$A$1:$A$1001,customers!$G$1:$G$1001,customers!A122:H1095)</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7">
        <f t="shared" si="3"/>
        <v>68.75</v>
      </c>
      <c r="N123" t="str">
        <f t="shared" si="4"/>
        <v>Excelsa</v>
      </c>
      <c r="O123" t="str">
        <f t="shared" si="5"/>
        <v>Medium</v>
      </c>
      <c r="P123" t="str">
        <f>_xlfn.XLOOKUP(C123,customers!$A$1:$A$1001,customers!$I$1:$I$1001,0)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IF(_xlfn.XLOOKUP(C124,customers!$A$1:$A$1001,customers!$C$1:$C$1001,)=0,"",_xlfn.XLOOKUP(C124,customers!$A$1:$A$1001,customers!$C$1:$C$1001,))</f>
        <v>mludwell3e@blogger.com</v>
      </c>
      <c r="H124" s="2" t="str" cm="1">
        <f t="array" ref="H124">_xlfn.XLOOKUP(C124,customers!$A$1:$A$1001,customers!$G$1:$G$1001,customers!A123:H1096)</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7">
        <f t="shared" si="3"/>
        <v>23.88</v>
      </c>
      <c r="N124" t="str">
        <f t="shared" si="4"/>
        <v>Arabic</v>
      </c>
      <c r="O124" t="str">
        <f t="shared" si="5"/>
        <v>Dark</v>
      </c>
      <c r="P124" t="str">
        <f>_xlfn.XLOOKUP(C124,customers!$A$1:$A$1001,customers!$I$1:$I$1001,0)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IF(_xlfn.XLOOKUP(C125,customers!$A$1:$A$1001,customers!$C$1:$C$1001,)=0,"",_xlfn.XLOOKUP(C125,customers!$A$1:$A$1001,customers!$C$1:$C$1001,))</f>
        <v>dbeauchamp3f@usda.gov</v>
      </c>
      <c r="H125" s="2" t="str" cm="1">
        <f t="array" ref="H125">_xlfn.XLOOKUP(C125,customers!$A$1:$A$1001,customers!$G$1:$G$1001,customers!A124:H1097)</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7">
        <f t="shared" si="3"/>
        <v>145.82</v>
      </c>
      <c r="N125" t="str">
        <f t="shared" si="4"/>
        <v>Librica</v>
      </c>
      <c r="O125" t="str">
        <f t="shared" si="5"/>
        <v>Large</v>
      </c>
      <c r="P125" t="str">
        <f>_xlfn.XLOOKUP(C125,customers!$A$1:$A$1001,customers!$I$1:$I$1001,0)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IF(_xlfn.XLOOKUP(C126,customers!$A$1:$A$1001,customers!$C$1:$C$1001,)=0,"",_xlfn.XLOOKUP(C126,customers!$A$1:$A$1001,customers!$C$1:$C$1001,))</f>
        <v>srodliff3g@ted.com</v>
      </c>
      <c r="H126" s="2" t="str" cm="1">
        <f t="array" ref="H126">_xlfn.XLOOKUP(C126,customers!$A$1:$A$1001,customers!$G$1:$G$1001,customers!A125:H1098)</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7">
        <f t="shared" si="3"/>
        <v>21.825000000000003</v>
      </c>
      <c r="N126" t="str">
        <f t="shared" si="4"/>
        <v>Librica</v>
      </c>
      <c r="O126" t="str">
        <f t="shared" si="5"/>
        <v>Medium</v>
      </c>
      <c r="P126" t="str">
        <f>_xlfn.XLOOKUP(C126,customers!$A$1:$A$1001,customers!$I$1:$I$1001,0)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IF(_xlfn.XLOOKUP(C127,customers!$A$1:$A$1001,customers!$C$1:$C$1001,)=0,"",_xlfn.XLOOKUP(C127,customers!$A$1:$A$1001,customers!$C$1:$C$1001,))</f>
        <v>swoodham3h@businesswire.com</v>
      </c>
      <c r="H127" s="2" t="str" cm="1">
        <f t="array" ref="H127">_xlfn.XLOOKUP(C127,customers!$A$1:$A$1001,customers!$G$1:$G$1001,customers!A126:H1099)</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7">
        <f t="shared" si="3"/>
        <v>26.19</v>
      </c>
      <c r="N127" t="str">
        <f t="shared" si="4"/>
        <v>Librica</v>
      </c>
      <c r="O127" t="str">
        <f t="shared" si="5"/>
        <v>Medium</v>
      </c>
      <c r="P127" t="str">
        <f>_xlfn.XLOOKUP(C127,customers!$A$1:$A$1001,customers!$I$1:$I$1001,0)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IF(_xlfn.XLOOKUP(C128,customers!$A$1:$A$1001,customers!$C$1:$C$1001,)=0,"",_xlfn.XLOOKUP(C128,customers!$A$1:$A$1001,customers!$C$1:$C$1001,))</f>
        <v>hsynnot3i@about.com</v>
      </c>
      <c r="H128" s="2" t="str" cm="1">
        <f t="array" ref="H128">_xlfn.XLOOKUP(C128,customers!$A$1:$A$1001,customers!$G$1:$G$1001,customers!A127:H1100)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7">
        <f t="shared" si="3"/>
        <v>11.25</v>
      </c>
      <c r="N128" t="str">
        <f t="shared" si="4"/>
        <v>Arabic</v>
      </c>
      <c r="O128" t="str">
        <f t="shared" si="5"/>
        <v>Medium</v>
      </c>
      <c r="P128" t="str">
        <f>_xlfn.XLOOKUP(C128,customers!$A$1:$A$1001,customers!$I$1:$I$1001,0)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IF(_xlfn.XLOOKUP(C129,customers!$A$1:$A$1001,customers!$C$1:$C$1001,)=0,"",_xlfn.XLOOKUP(C129,customers!$A$1:$A$1001,customers!$C$1:$C$1001,))</f>
        <v>rlepere3j@shop-pro.jp</v>
      </c>
      <c r="H129" s="2" t="str" cm="1">
        <f t="array" ref="H129">_xlfn.XLOOKUP(C129,customers!$A$1:$A$1001,customers!$G$1:$G$1001,customers!A128:H1101)</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7">
        <f t="shared" si="3"/>
        <v>77.699999999999989</v>
      </c>
      <c r="N129" t="str">
        <f t="shared" si="4"/>
        <v>Librica</v>
      </c>
      <c r="O129" t="str">
        <f t="shared" si="5"/>
        <v>Dark</v>
      </c>
      <c r="P129" t="str">
        <f>_xlfn.XLOOKUP(C129,customers!$A$1:$A$1001,customers!$I$1:$I$1001,0)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IF(_xlfn.XLOOKUP(C130,customers!$A$1:$A$1001,customers!$C$1:$C$1001,)=0,"",_xlfn.XLOOKUP(C130,customers!$A$1:$A$1001,customers!$C$1:$C$1001,))</f>
        <v>twoofinden3k@businesswire.com</v>
      </c>
      <c r="H130" s="2" t="str" cm="1">
        <f t="array" ref="H130">_xlfn.XLOOKUP(C130,customers!$A$1:$A$1001,customers!$G$1:$G$1001,customers!A129:H1102)</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7">
        <f t="shared" si="3"/>
        <v>6.75</v>
      </c>
      <c r="N130" t="str">
        <f t="shared" si="4"/>
        <v>Arabic</v>
      </c>
      <c r="O130" t="str">
        <f t="shared" si="5"/>
        <v>Medium</v>
      </c>
      <c r="P130" t="str">
        <f>_xlfn.XLOOKUP(C130,customers!$A$1:$A$1001,customers!$I$1:$I$1001,0)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IF(_xlfn.XLOOKUP(C131,customers!$A$1:$A$1001,customers!$C$1:$C$1001,)=0,"",_xlfn.XLOOKUP(C131,customers!$A$1:$A$1001,customers!$C$1:$C$1001,))</f>
        <v>edacca3l@google.pl</v>
      </c>
      <c r="H131" s="2" t="str" cm="1">
        <f t="array" ref="H131">_xlfn.XLOOKUP(C131,customers!$A$1:$A$1001,customers!$G$1:$G$1001,customers!A130:H1103)</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7">
        <f t="shared" ref="M131:M194" si="6">L131*E131</f>
        <v>12.15</v>
      </c>
      <c r="N131" t="str">
        <f t="shared" ref="N131:N194" si="7">IF(I131="Rob","Robusta",IF(I131="Exc","Excelsa",IF(I131="Ara","Arabic",IF(I131="Lib","Librica"))))</f>
        <v>Excelsa</v>
      </c>
      <c r="O131" t="str">
        <f t="shared" ref="O131:O194" si="8">IF(J131="M","Medium",IF(J131="L","Large",IF(J131="D","Dark")))</f>
        <v>Dark</v>
      </c>
      <c r="P131" t="str">
        <f>_xlfn.XLOOKUP(C131,customers!$A$1:$A$1001,customers!$I$1:$I$1001,0)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IF(_xlfn.XLOOKUP(C132,customers!$A$1:$A$1001,customers!$C$1:$C$1001,)=0,"",_xlfn.XLOOKUP(C132,customers!$A$1:$A$1001,customers!$C$1:$C$1001,))</f>
        <v/>
      </c>
      <c r="H132" s="2" t="str" cm="1">
        <f t="array" ref="H132">_xlfn.XLOOKUP(C132,customers!$A$1:$A$1001,customers!$G$1:$G$1001,customers!A131:H1104)</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7">
        <f t="shared" si="6"/>
        <v>148.92499999999998</v>
      </c>
      <c r="N132" t="str">
        <f t="shared" si="7"/>
        <v>Arabic</v>
      </c>
      <c r="O132" t="str">
        <f t="shared" si="8"/>
        <v>Large</v>
      </c>
      <c r="P132" t="str">
        <f>_xlfn.XLOOKUP(C132,customers!$A$1:$A$1001,customers!$I$1:$I$1001,0)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IF(_xlfn.XLOOKUP(C133,customers!$A$1:$A$1001,customers!$C$1:$C$1001,)=0,"",_xlfn.XLOOKUP(C133,customers!$A$1:$A$1001,customers!$C$1:$C$1001,))</f>
        <v>bhindsberg3n@blogs.com</v>
      </c>
      <c r="H133" s="2" t="str" cm="1">
        <f t="array" ref="H133">_xlfn.XLOOKUP(C133,customers!$A$1:$A$1001,customers!$G$1:$G$1001,customers!A132:H1105)</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7">
        <f t="shared" si="6"/>
        <v>14.58</v>
      </c>
      <c r="N133" t="str">
        <f t="shared" si="7"/>
        <v>Excelsa</v>
      </c>
      <c r="O133" t="str">
        <f t="shared" si="8"/>
        <v>Dark</v>
      </c>
      <c r="P133" t="str">
        <f>_xlfn.XLOOKUP(C133,customers!$A$1:$A$1001,customers!$I$1:$I$1001,0)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IF(_xlfn.XLOOKUP(C134,customers!$A$1:$A$1001,customers!$C$1:$C$1001,)=0,"",_xlfn.XLOOKUP(C134,customers!$A$1:$A$1001,customers!$C$1:$C$1001,))</f>
        <v>orobins3o@salon.com</v>
      </c>
      <c r="H134" s="2" t="str" cm="1">
        <f t="array" ref="H134">_xlfn.XLOOKUP(C134,customers!$A$1:$A$1001,customers!$G$1:$G$1001,customers!A133:H1106)</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7">
        <f t="shared" si="6"/>
        <v>148.92499999999998</v>
      </c>
      <c r="N134" t="str">
        <f t="shared" si="7"/>
        <v>Arabic</v>
      </c>
      <c r="O134" t="str">
        <f t="shared" si="8"/>
        <v>Large</v>
      </c>
      <c r="P134" t="str">
        <f>_xlfn.XLOOKUP(C134,customers!$A$1:$A$1001,customers!$I$1:$I$1001,0)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IF(_xlfn.XLOOKUP(C135,customers!$A$1:$A$1001,customers!$C$1:$C$1001,)=0,"",_xlfn.XLOOKUP(C135,customers!$A$1:$A$1001,customers!$C$1:$C$1001,))</f>
        <v>osyseland3p@independent.co.uk</v>
      </c>
      <c r="H135" s="2" t="str" cm="1">
        <f t="array" ref="H135">_xlfn.XLOOKUP(C135,customers!$A$1:$A$1001,customers!$G$1:$G$1001,customers!A134:H1107)</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7">
        <f t="shared" si="6"/>
        <v>12.95</v>
      </c>
      <c r="N135" t="str">
        <f t="shared" si="7"/>
        <v>Librica</v>
      </c>
      <c r="O135" t="str">
        <f t="shared" si="8"/>
        <v>Dark</v>
      </c>
      <c r="P135" t="str">
        <f>_xlfn.XLOOKUP(C135,customers!$A$1:$A$1001,customers!$I$1:$I$1001,0)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IF(_xlfn.XLOOKUP(C136,customers!$A$1:$A$1001,customers!$C$1:$C$1001,)=0,"",_xlfn.XLOOKUP(C136,customers!$A$1:$A$1001,customers!$C$1:$C$1001,))</f>
        <v/>
      </c>
      <c r="H136" s="2" t="str" cm="1">
        <f t="array" ref="H136">_xlfn.XLOOKUP(C136,customers!$A$1:$A$1001,customers!$G$1:$G$1001,customers!A135:H1108)</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7">
        <f t="shared" si="6"/>
        <v>94.874999999999986</v>
      </c>
      <c r="N136" t="str">
        <f t="shared" si="7"/>
        <v>Excelsa</v>
      </c>
      <c r="O136" t="str">
        <f t="shared" si="8"/>
        <v>Medium</v>
      </c>
      <c r="P136" t="str">
        <f>_xlfn.XLOOKUP(C136,customers!$A$1:$A$1001,customers!$I$1:$I$1001,0)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IF(_xlfn.XLOOKUP(C137,customers!$A$1:$A$1001,customers!$C$1:$C$1001,)=0,"",_xlfn.XLOOKUP(C137,customers!$A$1:$A$1001,customers!$C$1:$C$1001,))</f>
        <v>bmcamish2e@tripadvisor.com</v>
      </c>
      <c r="H137" s="2" t="str" cm="1">
        <f t="array" ref="H137">_xlfn.XLOOKUP(C137,customers!$A$1:$A$1001,customers!$G$1:$G$1001,customers!A136:H1109)</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7">
        <f t="shared" si="6"/>
        <v>38.849999999999994</v>
      </c>
      <c r="N137" t="str">
        <f t="shared" si="7"/>
        <v>Arabic</v>
      </c>
      <c r="O137" t="str">
        <f t="shared" si="8"/>
        <v>Large</v>
      </c>
      <c r="P137" t="str">
        <f>_xlfn.XLOOKUP(C137,customers!$A$1:$A$1001,customers!$I$1:$I$1001,0)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IF(_xlfn.XLOOKUP(C138,customers!$A$1:$A$1001,customers!$C$1:$C$1001,)=0,"",_xlfn.XLOOKUP(C138,customers!$A$1:$A$1001,customers!$C$1:$C$1001,))</f>
        <v>lkeenleyside3s@topsy.com</v>
      </c>
      <c r="H138" s="2" t="str" cm="1">
        <f t="array" ref="H138">_xlfn.XLOOKUP(C138,customers!$A$1:$A$1001,customers!$G$1:$G$1001,customers!A137:H1110)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7">
        <f t="shared" si="6"/>
        <v>11.94</v>
      </c>
      <c r="N138" t="str">
        <f t="shared" si="7"/>
        <v>Arabic</v>
      </c>
      <c r="O138" t="str">
        <f t="shared" si="8"/>
        <v>Dark</v>
      </c>
      <c r="P138" t="str">
        <f>_xlfn.XLOOKUP(C138,customers!$A$1:$A$1001,customers!$I$1:$I$1001,0)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IF(_xlfn.XLOOKUP(C139,customers!$A$1:$A$1001,customers!$C$1:$C$1001,)=0,"",_xlfn.XLOOKUP(C139,customers!$A$1:$A$1001,customers!$C$1:$C$1001,))</f>
        <v/>
      </c>
      <c r="H139" s="2" t="str" cm="1">
        <f t="array" ref="H139">_xlfn.XLOOKUP(C139,customers!$A$1:$A$1001,customers!$G$1:$G$1001,customers!A138:H1111)</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7">
        <f t="shared" si="6"/>
        <v>102.46499999999997</v>
      </c>
      <c r="N139" t="str">
        <f t="shared" si="7"/>
        <v>Excelsa</v>
      </c>
      <c r="O139" t="str">
        <f t="shared" si="8"/>
        <v>Large</v>
      </c>
      <c r="P139" t="str">
        <f>_xlfn.XLOOKUP(C139,customers!$A$1:$A$1001,customers!$I$1:$I$1001,0)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IF(_xlfn.XLOOKUP(C140,customers!$A$1:$A$1001,customers!$C$1:$C$1001,)=0,"",_xlfn.XLOOKUP(C140,customers!$A$1:$A$1001,customers!$C$1:$C$1001,))</f>
        <v/>
      </c>
      <c r="H140" s="2" t="str" cm="1">
        <f t="array" ref="H140">_xlfn.XLOOKUP(C140,customers!$A$1:$A$1001,customers!$G$1:$G$1001,customers!A139:H1112)</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7">
        <f t="shared" si="6"/>
        <v>48.6</v>
      </c>
      <c r="N140" t="str">
        <f t="shared" si="7"/>
        <v>Excelsa</v>
      </c>
      <c r="O140" t="str">
        <f t="shared" si="8"/>
        <v>Dark</v>
      </c>
      <c r="P140" t="str">
        <f>_xlfn.XLOOKUP(C140,customers!$A$1:$A$1001,customers!$I$1:$I$1001,0)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IF(_xlfn.XLOOKUP(C141,customers!$A$1:$A$1001,customers!$C$1:$C$1001,)=0,"",_xlfn.XLOOKUP(C141,customers!$A$1:$A$1001,customers!$C$1:$C$1001,))</f>
        <v/>
      </c>
      <c r="H141" s="2" t="str" cm="1">
        <f t="array" ref="H141">_xlfn.XLOOKUP(C141,customers!$A$1:$A$1001,customers!$G$1:$G$1001,customers!A140:H1113)</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7">
        <f t="shared" si="6"/>
        <v>77.699999999999989</v>
      </c>
      <c r="N141" t="str">
        <f t="shared" si="7"/>
        <v>Librica</v>
      </c>
      <c r="O141" t="str">
        <f t="shared" si="8"/>
        <v>Dark</v>
      </c>
      <c r="P141" t="str">
        <f>_xlfn.XLOOKUP(C141,customers!$A$1:$A$1001,customers!$I$1:$I$1001,0)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IF(_xlfn.XLOOKUP(C142,customers!$A$1:$A$1001,customers!$C$1:$C$1001,)=0,"",_xlfn.XLOOKUP(C142,customers!$A$1:$A$1001,customers!$C$1:$C$1001,))</f>
        <v>vkundt3w@bigcartel.com</v>
      </c>
      <c r="H142" s="2" t="str" cm="1">
        <f t="array" ref="H142">_xlfn.XLOOKUP(C142,customers!$A$1:$A$1001,customers!$G$1:$G$1001,customers!A141:H1114)</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7">
        <f t="shared" si="6"/>
        <v>29.784999999999997</v>
      </c>
      <c r="N142" t="str">
        <f t="shared" si="7"/>
        <v>Librica</v>
      </c>
      <c r="O142" t="str">
        <f t="shared" si="8"/>
        <v>Dark</v>
      </c>
      <c r="P142" t="str">
        <f>_xlfn.XLOOKUP(C142,customers!$A$1:$A$1001,customers!$I$1:$I$1001,0)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IF(_xlfn.XLOOKUP(C143,customers!$A$1:$A$1001,customers!$C$1:$C$1001,)=0,"",_xlfn.XLOOKUP(C143,customers!$A$1:$A$1001,customers!$C$1:$C$1001,))</f>
        <v>bbett3x@google.de</v>
      </c>
      <c r="H143" s="2" t="str" cm="1">
        <f t="array" ref="H143">_xlfn.XLOOKUP(C143,customers!$A$1:$A$1001,customers!$G$1:$G$1001,customers!A142:H1115)</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7">
        <f t="shared" si="6"/>
        <v>15.54</v>
      </c>
      <c r="N143" t="str">
        <f t="shared" si="7"/>
        <v>Arabic</v>
      </c>
      <c r="O143" t="str">
        <f t="shared" si="8"/>
        <v>Large</v>
      </c>
      <c r="P143" t="str">
        <f>_xlfn.XLOOKUP(C143,customers!$A$1:$A$1001,customers!$I$1:$I$1001,0)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IF(_xlfn.XLOOKUP(C144,customers!$A$1:$A$1001,customers!$C$1:$C$1001,)=0,"",_xlfn.XLOOKUP(C144,customers!$A$1:$A$1001,customers!$C$1:$C$1001,))</f>
        <v/>
      </c>
      <c r="H144" s="2" t="str" cm="1">
        <f t="array" ref="H144">_xlfn.XLOOKUP(C144,customers!$A$1:$A$1001,customers!$G$1:$G$1001,customers!A143:H1116)</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7">
        <f t="shared" si="6"/>
        <v>136.61999999999998</v>
      </c>
      <c r="N144" t="str">
        <f t="shared" si="7"/>
        <v>Excelsa</v>
      </c>
      <c r="O144" t="str">
        <f t="shared" si="8"/>
        <v>Large</v>
      </c>
      <c r="P144" t="str">
        <f>_xlfn.XLOOKUP(C144,customers!$A$1:$A$1001,customers!$I$1:$I$1001,0)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IF(_xlfn.XLOOKUP(C145,customers!$A$1:$A$1001,customers!$C$1:$C$1001,)=0,"",_xlfn.XLOOKUP(C145,customers!$A$1:$A$1001,customers!$C$1:$C$1001,))</f>
        <v>dstaite3z@scientificamerican.com</v>
      </c>
      <c r="H145" s="2" t="str" cm="1">
        <f t="array" ref="H145">_xlfn.XLOOKUP(C145,customers!$A$1:$A$1001,customers!$G$1:$G$1001,customers!A144:H1117)</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7">
        <f t="shared" si="6"/>
        <v>17.46</v>
      </c>
      <c r="N145" t="str">
        <f t="shared" si="7"/>
        <v>Librica</v>
      </c>
      <c r="O145" t="str">
        <f t="shared" si="8"/>
        <v>Medium</v>
      </c>
      <c r="P145" t="str">
        <f>_xlfn.XLOOKUP(C145,customers!$A$1:$A$1001,customers!$I$1:$I$1001,0)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IF(_xlfn.XLOOKUP(C146,customers!$A$1:$A$1001,customers!$C$1:$C$1001,)=0,"",_xlfn.XLOOKUP(C146,customers!$A$1:$A$1001,customers!$C$1:$C$1001,))</f>
        <v>wkeyse40@apple.com</v>
      </c>
      <c r="H146" s="2" t="str" cm="1">
        <f t="array" ref="H146">_xlfn.XLOOKUP(C146,customers!$A$1:$A$1001,customers!$G$1:$G$1001,customers!A145:H1118)</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7">
        <f t="shared" si="6"/>
        <v>68.309999999999988</v>
      </c>
      <c r="N146" t="str">
        <f t="shared" si="7"/>
        <v>Excelsa</v>
      </c>
      <c r="O146" t="str">
        <f t="shared" si="8"/>
        <v>Large</v>
      </c>
      <c r="P146" t="str">
        <f>_xlfn.XLOOKUP(C146,customers!$A$1:$A$1001,customers!$I$1:$I$1001,0)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IF(_xlfn.XLOOKUP(C147,customers!$A$1:$A$1001,customers!$C$1:$C$1001,)=0,"",_xlfn.XLOOKUP(C147,customers!$A$1:$A$1001,customers!$C$1:$C$1001,))</f>
        <v>oclausenthue41@marriott.com</v>
      </c>
      <c r="H147" s="2" t="str" cm="1">
        <f t="array" ref="H147">_xlfn.XLOOKUP(C147,customers!$A$1:$A$1001,customers!$G$1:$G$1001,customers!A146:H1119)</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7">
        <f t="shared" si="6"/>
        <v>17.46</v>
      </c>
      <c r="N147" t="str">
        <f t="shared" si="7"/>
        <v>Librica</v>
      </c>
      <c r="O147" t="str">
        <f t="shared" si="8"/>
        <v>Medium</v>
      </c>
      <c r="P147" t="str">
        <f>_xlfn.XLOOKUP(C147,customers!$A$1:$A$1001,customers!$I$1:$I$1001,0)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IF(_xlfn.XLOOKUP(C148,customers!$A$1:$A$1001,customers!$C$1:$C$1001,)=0,"",_xlfn.XLOOKUP(C148,customers!$A$1:$A$1001,customers!$C$1:$C$1001,))</f>
        <v>lfrancisco42@fema.gov</v>
      </c>
      <c r="H148" s="2" t="str" cm="1">
        <f t="array" ref="H148">_xlfn.XLOOKUP(C148,customers!$A$1:$A$1001,customers!$G$1:$G$1001,customers!A147:H1120)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7">
        <f t="shared" si="6"/>
        <v>43.650000000000006</v>
      </c>
      <c r="N148" t="str">
        <f t="shared" si="7"/>
        <v>Librica</v>
      </c>
      <c r="O148" t="str">
        <f t="shared" si="8"/>
        <v>Medium</v>
      </c>
      <c r="P148" t="str">
        <f>_xlfn.XLOOKUP(C148,customers!$A$1:$A$1001,customers!$I$1:$I$1001,0)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IF(_xlfn.XLOOKUP(C149,customers!$A$1:$A$1001,customers!$C$1:$C$1001,)=0,"",_xlfn.XLOOKUP(C149,customers!$A$1:$A$1001,customers!$C$1:$C$1001,))</f>
        <v>lfrancisco42@fema.gov</v>
      </c>
      <c r="H149" s="2" t="str" cm="1">
        <f t="array" ref="H149">_xlfn.XLOOKUP(C149,customers!$A$1:$A$1001,customers!$G$1:$G$1001,customers!A148:H1121)</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7">
        <f t="shared" si="6"/>
        <v>27.5</v>
      </c>
      <c r="N149" t="str">
        <f t="shared" si="7"/>
        <v>Excelsa</v>
      </c>
      <c r="O149" t="str">
        <f t="shared" si="8"/>
        <v>Medium</v>
      </c>
      <c r="P149" t="str">
        <f>_xlfn.XLOOKUP(C149,customers!$A$1:$A$1001,customers!$I$1:$I$1001,0)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IF(_xlfn.XLOOKUP(C150,customers!$A$1:$A$1001,customers!$C$1:$C$1001,)=0,"",_xlfn.XLOOKUP(C150,customers!$A$1:$A$1001,customers!$C$1:$C$1001,))</f>
        <v>gskingle44@clickbank.net</v>
      </c>
      <c r="H150" s="2" t="str" cm="1">
        <f t="array" ref="H150">_xlfn.XLOOKUP(C150,customers!$A$1:$A$1001,customers!$G$1:$G$1001,customers!A149:H1122)</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7">
        <f t="shared" si="6"/>
        <v>18.225000000000001</v>
      </c>
      <c r="N150" t="str">
        <f t="shared" si="7"/>
        <v>Excelsa</v>
      </c>
      <c r="O150" t="str">
        <f t="shared" si="8"/>
        <v>Dark</v>
      </c>
      <c r="P150" t="str">
        <f>_xlfn.XLOOKUP(C150,customers!$A$1:$A$1001,customers!$I$1:$I$1001,0)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IF(_xlfn.XLOOKUP(C151,customers!$A$1:$A$1001,customers!$C$1:$C$1001,)=0,"",_xlfn.XLOOKUP(C151,customers!$A$1:$A$1001,customers!$C$1:$C$1001,))</f>
        <v/>
      </c>
      <c r="H151" s="2" t="str" cm="1">
        <f t="array" ref="H151">_xlfn.XLOOKUP(C151,customers!$A$1:$A$1001,customers!$G$1:$G$1001,customers!A150:H1123)</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7">
        <f t="shared" si="6"/>
        <v>51.749999999999993</v>
      </c>
      <c r="N151" t="str">
        <f t="shared" si="7"/>
        <v>Arabic</v>
      </c>
      <c r="O151" t="str">
        <f t="shared" si="8"/>
        <v>Medium</v>
      </c>
      <c r="P151" t="str">
        <f>_xlfn.XLOOKUP(C151,customers!$A$1:$A$1001,customers!$I$1:$I$1001,0)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IF(_xlfn.XLOOKUP(C152,customers!$A$1:$A$1001,customers!$C$1:$C$1001,)=0,"",_xlfn.XLOOKUP(C152,customers!$A$1:$A$1001,customers!$C$1:$C$1001,))</f>
        <v>jbalsillie46@princeton.edu</v>
      </c>
      <c r="H152" s="2" t="str" cm="1">
        <f t="array" ref="H152">_xlfn.XLOOKUP(C152,customers!$A$1:$A$1001,customers!$G$1:$G$1001,customers!A151:H1124)</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7">
        <f t="shared" si="6"/>
        <v>12.95</v>
      </c>
      <c r="N152" t="str">
        <f t="shared" si="7"/>
        <v>Librica</v>
      </c>
      <c r="O152" t="str">
        <f t="shared" si="8"/>
        <v>Dark</v>
      </c>
      <c r="P152" t="str">
        <f>_xlfn.XLOOKUP(C152,customers!$A$1:$A$1001,customers!$I$1:$I$1001,0)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IF(_xlfn.XLOOKUP(C153,customers!$A$1:$A$1001,customers!$C$1:$C$1001,)=0,"",_xlfn.XLOOKUP(C153,customers!$A$1:$A$1001,customers!$C$1:$C$1001,))</f>
        <v/>
      </c>
      <c r="H153" s="2" t="str" cm="1">
        <f t="array" ref="H153">_xlfn.XLOOKUP(C153,customers!$A$1:$A$1001,customers!$G$1:$G$1001,customers!A152:H1125)</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7">
        <f t="shared" si="6"/>
        <v>33.75</v>
      </c>
      <c r="N153" t="str">
        <f t="shared" si="7"/>
        <v>Arabic</v>
      </c>
      <c r="O153" t="str">
        <f t="shared" si="8"/>
        <v>Medium</v>
      </c>
      <c r="P153" t="str">
        <f>_xlfn.XLOOKUP(C153,customers!$A$1:$A$1001,customers!$I$1:$I$1001,0)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IF(_xlfn.XLOOKUP(C154,customers!$A$1:$A$1001,customers!$C$1:$C$1001,)=0,"",_xlfn.XLOOKUP(C154,customers!$A$1:$A$1001,customers!$C$1:$C$1001,))</f>
        <v>bleffek48@ning.com</v>
      </c>
      <c r="H154" s="2" t="str" cm="1">
        <f t="array" ref="H154">_xlfn.XLOOKUP(C154,customers!$A$1:$A$1001,customers!$G$1:$G$1001,customers!A153:H1126)</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7">
        <f t="shared" si="6"/>
        <v>68.655000000000001</v>
      </c>
      <c r="N154" t="str">
        <f t="shared" si="7"/>
        <v>Robusta</v>
      </c>
      <c r="O154" t="str">
        <f t="shared" si="8"/>
        <v>Medium</v>
      </c>
      <c r="P154" t="str">
        <f>_xlfn.XLOOKUP(C154,customers!$A$1:$A$1001,customers!$I$1:$I$1001,0)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IF(_xlfn.XLOOKUP(C155,customers!$A$1:$A$1001,customers!$C$1:$C$1001,)=0,"",_xlfn.XLOOKUP(C155,customers!$A$1:$A$1001,customers!$C$1:$C$1001,))</f>
        <v/>
      </c>
      <c r="H155" s="2" t="str" cm="1">
        <f t="array" ref="H155">_xlfn.XLOOKUP(C155,customers!$A$1:$A$1001,customers!$G$1:$G$1001,customers!A154:H1127)</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7">
        <f t="shared" si="6"/>
        <v>2.6849999999999996</v>
      </c>
      <c r="N155" t="str">
        <f t="shared" si="7"/>
        <v>Robusta</v>
      </c>
      <c r="O155" t="str">
        <f t="shared" si="8"/>
        <v>Dark</v>
      </c>
      <c r="P155" t="str">
        <f>_xlfn.XLOOKUP(C155,customers!$A$1:$A$1001,customers!$I$1:$I$1001,0)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IF(_xlfn.XLOOKUP(C156,customers!$A$1:$A$1001,customers!$C$1:$C$1001,)=0,"",_xlfn.XLOOKUP(C156,customers!$A$1:$A$1001,customers!$C$1:$C$1001,))</f>
        <v>jpray4a@youtube.com</v>
      </c>
      <c r="H156" s="2" t="str" cm="1">
        <f t="array" ref="H156">_xlfn.XLOOKUP(C156,customers!$A$1:$A$1001,customers!$G$1:$G$1001,customers!A155:H1128)</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7">
        <f t="shared" si="6"/>
        <v>114.42499999999998</v>
      </c>
      <c r="N156" t="str">
        <f t="shared" si="7"/>
        <v>Arabic</v>
      </c>
      <c r="O156" t="str">
        <f t="shared" si="8"/>
        <v>Dark</v>
      </c>
      <c r="P156" t="str">
        <f>_xlfn.XLOOKUP(C156,customers!$A$1:$A$1001,customers!$I$1:$I$1001,0)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IF(_xlfn.XLOOKUP(C157,customers!$A$1:$A$1001,customers!$C$1:$C$1001,)=0,"",_xlfn.XLOOKUP(C157,customers!$A$1:$A$1001,customers!$C$1:$C$1001,))</f>
        <v>gholborn4b@ow.ly</v>
      </c>
      <c r="H157" s="2" t="str" cm="1">
        <f t="array" ref="H157">_xlfn.XLOOKUP(C157,customers!$A$1:$A$1001,customers!$G$1:$G$1001,customers!A156:H1129)</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7">
        <f t="shared" si="6"/>
        <v>155.24999999999997</v>
      </c>
      <c r="N157" t="str">
        <f t="shared" si="7"/>
        <v>Arabic</v>
      </c>
      <c r="O157" t="str">
        <f t="shared" si="8"/>
        <v>Medium</v>
      </c>
      <c r="P157" t="str">
        <f>_xlfn.XLOOKUP(C157,customers!$A$1:$A$1001,customers!$I$1:$I$1001,0)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IF(_xlfn.XLOOKUP(C158,customers!$A$1:$A$1001,customers!$C$1:$C$1001,)=0,"",_xlfn.XLOOKUP(C158,customers!$A$1:$A$1001,customers!$C$1:$C$1001,))</f>
        <v>fkeinrat4c@dailymail.co.uk</v>
      </c>
      <c r="H158" s="2" t="str" cm="1">
        <f t="array" ref="H158">_xlfn.XLOOKUP(C158,customers!$A$1:$A$1001,customers!$G$1:$G$1001,customers!A157:H1130)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7">
        <f t="shared" si="6"/>
        <v>77.624999999999986</v>
      </c>
      <c r="N158" t="str">
        <f t="shared" si="7"/>
        <v>Arabic</v>
      </c>
      <c r="O158" t="str">
        <f t="shared" si="8"/>
        <v>Medium</v>
      </c>
      <c r="P158" t="str">
        <f>_xlfn.XLOOKUP(C158,customers!$A$1:$A$1001,customers!$I$1:$I$1001,0)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IF(_xlfn.XLOOKUP(C159,customers!$A$1:$A$1001,customers!$C$1:$C$1001,)=0,"",_xlfn.XLOOKUP(C159,customers!$A$1:$A$1001,customers!$C$1:$C$1001,))</f>
        <v>pyea4d@aol.com</v>
      </c>
      <c r="H159" s="2" t="str" cm="1">
        <f t="array" ref="H159">_xlfn.XLOOKUP(C159,customers!$A$1:$A$1001,customers!$G$1:$G$1001,customers!A158:H1131)</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7">
        <f t="shared" si="6"/>
        <v>61.754999999999995</v>
      </c>
      <c r="N159" t="str">
        <f t="shared" si="7"/>
        <v>Robusta</v>
      </c>
      <c r="O159" t="str">
        <f t="shared" si="8"/>
        <v>Dark</v>
      </c>
      <c r="P159" t="str">
        <f>_xlfn.XLOOKUP(C159,customers!$A$1:$A$1001,customers!$I$1:$I$1001,0)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IF(_xlfn.XLOOKUP(C160,customers!$A$1:$A$1001,customers!$C$1:$C$1001,)=0,"",_xlfn.XLOOKUP(C160,customers!$A$1:$A$1001,customers!$C$1:$C$1001,))</f>
        <v/>
      </c>
      <c r="H160" s="2" t="str" cm="1">
        <f t="array" ref="H160">_xlfn.XLOOKUP(C160,customers!$A$1:$A$1001,customers!$G$1:$G$1001,customers!A159:H1132)</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7">
        <f t="shared" si="6"/>
        <v>123.50999999999999</v>
      </c>
      <c r="N160" t="str">
        <f t="shared" si="7"/>
        <v>Robusta</v>
      </c>
      <c r="O160" t="str">
        <f t="shared" si="8"/>
        <v>Dark</v>
      </c>
      <c r="P160" t="str">
        <f>_xlfn.XLOOKUP(C160,customers!$A$1:$A$1001,customers!$I$1:$I$1001,0)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IF(_xlfn.XLOOKUP(C161,customers!$A$1:$A$1001,customers!$C$1:$C$1001,)=0,"",_xlfn.XLOOKUP(C161,customers!$A$1:$A$1001,customers!$C$1:$C$1001,))</f>
        <v/>
      </c>
      <c r="H161" s="2" t="str" cm="1">
        <f t="array" ref="H161">_xlfn.XLOOKUP(C161,customers!$A$1:$A$1001,customers!$G$1:$G$1001,customers!A160:H1133)</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7">
        <f t="shared" si="6"/>
        <v>218.73</v>
      </c>
      <c r="N161" t="str">
        <f t="shared" si="7"/>
        <v>Librica</v>
      </c>
      <c r="O161" t="str">
        <f t="shared" si="8"/>
        <v>Large</v>
      </c>
      <c r="P161" t="str">
        <f>_xlfn.XLOOKUP(C161,customers!$A$1:$A$1001,customers!$I$1:$I$1001,0)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IF(_xlfn.XLOOKUP(C162,customers!$A$1:$A$1001,customers!$C$1:$C$1001,)=0,"",_xlfn.XLOOKUP(C162,customers!$A$1:$A$1001,customers!$C$1:$C$1001,))</f>
        <v>kswede4g@addthis.com</v>
      </c>
      <c r="H162" s="2" t="str" cm="1">
        <f t="array" ref="H162">_xlfn.XLOOKUP(C162,customers!$A$1:$A$1001,customers!$G$1:$G$1001,customers!A161:H1134)</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7">
        <f t="shared" si="6"/>
        <v>33</v>
      </c>
      <c r="N162" t="str">
        <f t="shared" si="7"/>
        <v>Excelsa</v>
      </c>
      <c r="O162" t="str">
        <f t="shared" si="8"/>
        <v>Medium</v>
      </c>
      <c r="P162" t="str">
        <f>_xlfn.XLOOKUP(C162,customers!$A$1:$A$1001,customers!$I$1:$I$1001,0)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IF(_xlfn.XLOOKUP(C163,customers!$A$1:$A$1001,customers!$C$1:$C$1001,)=0,"",_xlfn.XLOOKUP(C163,customers!$A$1:$A$1001,customers!$C$1:$C$1001,))</f>
        <v>lrubrow4h@microsoft.com</v>
      </c>
      <c r="H163" s="2" t="str" cm="1">
        <f t="array" ref="H163">_xlfn.XLOOKUP(C163,customers!$A$1:$A$1001,customers!$G$1:$G$1001,customers!A162:H1135)</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7">
        <f t="shared" si="6"/>
        <v>23.31</v>
      </c>
      <c r="N163" t="str">
        <f t="shared" si="7"/>
        <v>Arabic</v>
      </c>
      <c r="O163" t="str">
        <f t="shared" si="8"/>
        <v>Large</v>
      </c>
      <c r="P163" t="str">
        <f>_xlfn.XLOOKUP(C163,customers!$A$1:$A$1001,customers!$I$1:$I$1001,0)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IF(_xlfn.XLOOKUP(C164,customers!$A$1:$A$1001,customers!$C$1:$C$1001,)=0,"",_xlfn.XLOOKUP(C164,customers!$A$1:$A$1001,customers!$C$1:$C$1001,))</f>
        <v>dtift4i@netvibes.com</v>
      </c>
      <c r="H164" s="2" t="str" cm="1">
        <f t="array" ref="H164">_xlfn.XLOOKUP(C164,customers!$A$1:$A$1001,customers!$G$1:$G$1001,customers!A163:H1136)</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7">
        <f t="shared" si="6"/>
        <v>21.87</v>
      </c>
      <c r="N164" t="str">
        <f t="shared" si="7"/>
        <v>Excelsa</v>
      </c>
      <c r="O164" t="str">
        <f t="shared" si="8"/>
        <v>Dark</v>
      </c>
      <c r="P164" t="str">
        <f>_xlfn.XLOOKUP(C164,customers!$A$1:$A$1001,customers!$I$1:$I$1001,0)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IF(_xlfn.XLOOKUP(C165,customers!$A$1:$A$1001,customers!$C$1:$C$1001,)=0,"",_xlfn.XLOOKUP(C165,customers!$A$1:$A$1001,customers!$C$1:$C$1001,))</f>
        <v>gschonfeld4j@oracle.com</v>
      </c>
      <c r="H165" s="2" t="str" cm="1">
        <f t="array" ref="H165">_xlfn.XLOOKUP(C165,customers!$A$1:$A$1001,customers!$G$1:$G$1001,customers!A164:H1137)</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7">
        <f t="shared" si="6"/>
        <v>16.11</v>
      </c>
      <c r="N165" t="str">
        <f t="shared" si="7"/>
        <v>Robusta</v>
      </c>
      <c r="O165" t="str">
        <f t="shared" si="8"/>
        <v>Dark</v>
      </c>
      <c r="P165" t="str">
        <f>_xlfn.XLOOKUP(C165,customers!$A$1:$A$1001,customers!$I$1:$I$1001,0)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IF(_xlfn.XLOOKUP(C166,customers!$A$1:$A$1001,customers!$C$1:$C$1001,)=0,"",_xlfn.XLOOKUP(C166,customers!$A$1:$A$1001,customers!$C$1:$C$1001,))</f>
        <v>cfeye4k@google.co.jp</v>
      </c>
      <c r="H166" s="2" t="str" cm="1">
        <f t="array" ref="H166">_xlfn.XLOOKUP(C166,customers!$A$1:$A$1001,customers!$G$1:$G$1001,customers!A165:H1138)</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7">
        <f t="shared" si="6"/>
        <v>29.16</v>
      </c>
      <c r="N166" t="str">
        <f t="shared" si="7"/>
        <v>Excelsa</v>
      </c>
      <c r="O166" t="str">
        <f t="shared" si="8"/>
        <v>Dark</v>
      </c>
      <c r="P166" t="str">
        <f>_xlfn.XLOOKUP(C166,customers!$A$1:$A$1001,customers!$I$1:$I$1001,0)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IF(_xlfn.XLOOKUP(C167,customers!$A$1:$A$1001,customers!$C$1:$C$1001,)=0,"",_xlfn.XLOOKUP(C167,customers!$A$1:$A$1001,customers!$C$1:$C$1001,))</f>
        <v/>
      </c>
      <c r="H167" s="2" t="str" cm="1">
        <f t="array" ref="H167">_xlfn.XLOOKUP(C167,customers!$A$1:$A$1001,customers!$G$1:$G$1001,customers!A166:H1139)</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7">
        <f t="shared" si="6"/>
        <v>53.699999999999996</v>
      </c>
      <c r="N167" t="str">
        <f t="shared" si="7"/>
        <v>Robusta</v>
      </c>
      <c r="O167" t="str">
        <f t="shared" si="8"/>
        <v>Dark</v>
      </c>
      <c r="P167" t="str">
        <f>_xlfn.XLOOKUP(C167,customers!$A$1:$A$1001,customers!$I$1:$I$1001,0)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IF(_xlfn.XLOOKUP(C168,customers!$A$1:$A$1001,customers!$C$1:$C$1001,)=0,"",_xlfn.XLOOKUP(C168,customers!$A$1:$A$1001,customers!$C$1:$C$1001,))</f>
        <v/>
      </c>
      <c r="H168" s="2" t="str" cm="1">
        <f t="array" ref="H168">_xlfn.XLOOKUP(C168,customers!$A$1:$A$1001,customers!$G$1:$G$1001,customers!A167:H1140)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7">
        <f t="shared" si="6"/>
        <v>26.849999999999994</v>
      </c>
      <c r="N168" t="str">
        <f t="shared" si="7"/>
        <v>Robusta</v>
      </c>
      <c r="O168" t="str">
        <f t="shared" si="8"/>
        <v>Dark</v>
      </c>
      <c r="P168" t="str">
        <f>_xlfn.XLOOKUP(C168,customers!$A$1:$A$1001,customers!$I$1:$I$1001,0)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IF(_xlfn.XLOOKUP(C169,customers!$A$1:$A$1001,customers!$C$1:$C$1001,)=0,"",_xlfn.XLOOKUP(C169,customers!$A$1:$A$1001,customers!$C$1:$C$1001,))</f>
        <v>tfero4n@comsenz.com</v>
      </c>
      <c r="H169" s="2" t="str" cm="1">
        <f t="array" ref="H169">_xlfn.XLOOKUP(C169,customers!$A$1:$A$1001,customers!$G$1:$G$1001,customers!A168:H1141)</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7">
        <f t="shared" si="6"/>
        <v>41.25</v>
      </c>
      <c r="N169" t="str">
        <f t="shared" si="7"/>
        <v>Excelsa</v>
      </c>
      <c r="O169" t="str">
        <f t="shared" si="8"/>
        <v>Medium</v>
      </c>
      <c r="P169" t="str">
        <f>_xlfn.XLOOKUP(C169,customers!$A$1:$A$1001,customers!$I$1:$I$1001,0)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IF(_xlfn.XLOOKUP(C170,customers!$A$1:$A$1001,customers!$C$1:$C$1001,)=0,"",_xlfn.XLOOKUP(C170,customers!$A$1:$A$1001,customers!$C$1:$C$1001,))</f>
        <v/>
      </c>
      <c r="H170" s="2" t="str" cm="1">
        <f t="array" ref="H170">_xlfn.XLOOKUP(C170,customers!$A$1:$A$1001,customers!$G$1:$G$1001,customers!A169:H1142)</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7">
        <f t="shared" si="6"/>
        <v>40.5</v>
      </c>
      <c r="N170" t="str">
        <f t="shared" si="7"/>
        <v>Arabic</v>
      </c>
      <c r="O170" t="str">
        <f t="shared" si="8"/>
        <v>Medium</v>
      </c>
      <c r="P170" t="str">
        <f>_xlfn.XLOOKUP(C170,customers!$A$1:$A$1001,customers!$I$1:$I$1001,0)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IF(_xlfn.XLOOKUP(C171,customers!$A$1:$A$1001,customers!$C$1:$C$1001,)=0,"",_xlfn.XLOOKUP(C171,customers!$A$1:$A$1001,customers!$C$1:$C$1001,))</f>
        <v>fdauney4p@sphinn.com</v>
      </c>
      <c r="H171" s="2" t="str" cm="1">
        <f t="array" ref="H171">_xlfn.XLOOKUP(C171,customers!$A$1:$A$1001,customers!$G$1:$G$1001,customers!A170:H1143)</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7">
        <f t="shared" si="6"/>
        <v>17.899999999999999</v>
      </c>
      <c r="N171" t="str">
        <f t="shared" si="7"/>
        <v>Robusta</v>
      </c>
      <c r="O171" t="str">
        <f t="shared" si="8"/>
        <v>Dark</v>
      </c>
      <c r="P171" t="str">
        <f>_xlfn.XLOOKUP(C171,customers!$A$1:$A$1001,customers!$I$1:$I$1001,0)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IF(_xlfn.XLOOKUP(C172,customers!$A$1:$A$1001,customers!$C$1:$C$1001,)=0,"",_xlfn.XLOOKUP(C172,customers!$A$1:$A$1001,customers!$C$1:$C$1001,))</f>
        <v>searley4q@youku.com</v>
      </c>
      <c r="H172" s="2" t="str" cm="1">
        <f t="array" ref="H172">_xlfn.XLOOKUP(C172,customers!$A$1:$A$1001,customers!$G$1:$G$1001,customers!A171:H1144)</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7">
        <f t="shared" si="6"/>
        <v>68.309999999999988</v>
      </c>
      <c r="N172" t="str">
        <f t="shared" si="7"/>
        <v>Excelsa</v>
      </c>
      <c r="O172" t="str">
        <f t="shared" si="8"/>
        <v>Large</v>
      </c>
      <c r="P172" t="str">
        <f>_xlfn.XLOOKUP(C172,customers!$A$1:$A$1001,customers!$I$1:$I$1001,0)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IF(_xlfn.XLOOKUP(C173,customers!$A$1:$A$1001,customers!$C$1:$C$1001,)=0,"",_xlfn.XLOOKUP(C173,customers!$A$1:$A$1001,customers!$C$1:$C$1001,))</f>
        <v>mchamberlayne4r@bigcartel.com</v>
      </c>
      <c r="H173" s="2" t="str" cm="1">
        <f t="array" ref="H173">_xlfn.XLOOKUP(C173,customers!$A$1:$A$1001,customers!$G$1:$G$1001,customers!A172:H1145)</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7">
        <f t="shared" si="6"/>
        <v>63.249999999999993</v>
      </c>
      <c r="N173" t="str">
        <f t="shared" si="7"/>
        <v>Excelsa</v>
      </c>
      <c r="O173" t="str">
        <f t="shared" si="8"/>
        <v>Medium</v>
      </c>
      <c r="P173" t="str">
        <f>_xlfn.XLOOKUP(C173,customers!$A$1:$A$1001,customers!$I$1:$I$1001,0)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IF(_xlfn.XLOOKUP(C174,customers!$A$1:$A$1001,customers!$C$1:$C$1001,)=0,"",_xlfn.XLOOKUP(C174,customers!$A$1:$A$1001,customers!$C$1:$C$1001,))</f>
        <v>bflaherty4s@moonfruit.com</v>
      </c>
      <c r="H174" s="2" t="str" cm="1">
        <f t="array" ref="H174">_xlfn.XLOOKUP(C174,customers!$A$1:$A$1001,customers!$G$1:$G$1001,customers!A173:H1146)</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7">
        <f t="shared" si="6"/>
        <v>21.87</v>
      </c>
      <c r="N174" t="str">
        <f t="shared" si="7"/>
        <v>Excelsa</v>
      </c>
      <c r="O174" t="str">
        <f t="shared" si="8"/>
        <v>Dark</v>
      </c>
      <c r="P174" t="str">
        <f>_xlfn.XLOOKUP(C174,customers!$A$1:$A$1001,customers!$I$1:$I$1001,0)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IF(_xlfn.XLOOKUP(C175,customers!$A$1:$A$1001,customers!$C$1:$C$1001,)=0,"",_xlfn.XLOOKUP(C175,customers!$A$1:$A$1001,customers!$C$1:$C$1001,))</f>
        <v>ocolbeck4t@sina.com.cn</v>
      </c>
      <c r="H175" s="2" t="str" cm="1">
        <f t="array" ref="H175">_xlfn.XLOOKUP(C175,customers!$A$1:$A$1001,customers!$G$1:$G$1001,customers!A174:H1147)</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7">
        <f t="shared" si="6"/>
        <v>91.539999999999992</v>
      </c>
      <c r="N175" t="str">
        <f t="shared" si="7"/>
        <v>Robusta</v>
      </c>
      <c r="O175" t="str">
        <f t="shared" si="8"/>
        <v>Medium</v>
      </c>
      <c r="P175" t="str">
        <f>_xlfn.XLOOKUP(C175,customers!$A$1:$A$1001,customers!$I$1:$I$1001,0)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IF(_xlfn.XLOOKUP(C176,customers!$A$1:$A$1001,customers!$C$1:$C$1001,)=0,"",_xlfn.XLOOKUP(C176,customers!$A$1:$A$1001,customers!$C$1:$C$1001,))</f>
        <v/>
      </c>
      <c r="H176" s="2" t="str" cm="1">
        <f t="array" ref="H176">_xlfn.XLOOKUP(C176,customers!$A$1:$A$1001,customers!$G$1:$G$1001,customers!A175:H1148)</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7">
        <f t="shared" si="6"/>
        <v>204.92999999999995</v>
      </c>
      <c r="N176" t="str">
        <f t="shared" si="7"/>
        <v>Excelsa</v>
      </c>
      <c r="O176" t="str">
        <f t="shared" si="8"/>
        <v>Large</v>
      </c>
      <c r="P176" t="str">
        <f>_xlfn.XLOOKUP(C176,customers!$A$1:$A$1001,customers!$I$1:$I$1001,0)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IF(_xlfn.XLOOKUP(C177,customers!$A$1:$A$1001,customers!$C$1:$C$1001,)=0,"",_xlfn.XLOOKUP(C177,customers!$A$1:$A$1001,customers!$C$1:$C$1001,))</f>
        <v>ehobbing4v@nsw.gov.au</v>
      </c>
      <c r="H177" s="2" t="str" cm="1">
        <f t="array" ref="H177">_xlfn.XLOOKUP(C177,customers!$A$1:$A$1001,customers!$G$1:$G$1001,customers!A176:H1149)</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7">
        <f t="shared" si="6"/>
        <v>63.249999999999993</v>
      </c>
      <c r="N177" t="str">
        <f t="shared" si="7"/>
        <v>Excelsa</v>
      </c>
      <c r="O177" t="str">
        <f t="shared" si="8"/>
        <v>Medium</v>
      </c>
      <c r="P177" t="str">
        <f>_xlfn.XLOOKUP(C177,customers!$A$1:$A$1001,customers!$I$1:$I$1001,0)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IF(_xlfn.XLOOKUP(C178,customers!$A$1:$A$1001,customers!$C$1:$C$1001,)=0,"",_xlfn.XLOOKUP(C178,customers!$A$1:$A$1001,customers!$C$1:$C$1001,))</f>
        <v>othynne4w@auda.org.au</v>
      </c>
      <c r="H178" s="2" t="str" cm="1">
        <f t="array" ref="H178">_xlfn.XLOOKUP(C178,customers!$A$1:$A$1001,customers!$G$1:$G$1001,customers!A177:H1150)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7">
        <f t="shared" si="6"/>
        <v>34.154999999999994</v>
      </c>
      <c r="N178" t="str">
        <f t="shared" si="7"/>
        <v>Excelsa</v>
      </c>
      <c r="O178" t="str">
        <f t="shared" si="8"/>
        <v>Large</v>
      </c>
      <c r="P178" t="str">
        <f>_xlfn.XLOOKUP(C178,customers!$A$1:$A$1001,customers!$I$1:$I$1001,0)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IF(_xlfn.XLOOKUP(C179,customers!$A$1:$A$1001,customers!$C$1:$C$1001,)=0,"",_xlfn.XLOOKUP(C179,customers!$A$1:$A$1001,customers!$C$1:$C$1001,))</f>
        <v>eheining4x@flickr.com</v>
      </c>
      <c r="H179" s="2" t="str" cm="1">
        <f t="array" ref="H179">_xlfn.XLOOKUP(C179,customers!$A$1:$A$1001,customers!$G$1:$G$1001,customers!A178:H1151)</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7">
        <f t="shared" si="6"/>
        <v>109.93999999999998</v>
      </c>
      <c r="N179" t="str">
        <f t="shared" si="7"/>
        <v>Robusta</v>
      </c>
      <c r="O179" t="str">
        <f t="shared" si="8"/>
        <v>Large</v>
      </c>
      <c r="P179" t="str">
        <f>_xlfn.XLOOKUP(C179,customers!$A$1:$A$1001,customers!$I$1:$I$1001,0)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IF(_xlfn.XLOOKUP(C180,customers!$A$1:$A$1001,customers!$C$1:$C$1001,)=0,"",_xlfn.XLOOKUP(C180,customers!$A$1:$A$1001,customers!$C$1:$C$1001,))</f>
        <v>kmelloi4y@imdb.com</v>
      </c>
      <c r="H180" s="2" t="str" cm="1">
        <f t="array" ref="H180">_xlfn.XLOOKUP(C180,customers!$A$1:$A$1001,customers!$G$1:$G$1001,customers!A179:H1152)</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7">
        <f t="shared" si="6"/>
        <v>25.9</v>
      </c>
      <c r="N180" t="str">
        <f t="shared" si="7"/>
        <v>Arabic</v>
      </c>
      <c r="O180" t="str">
        <f t="shared" si="8"/>
        <v>Large</v>
      </c>
      <c r="P180" t="str">
        <f>_xlfn.XLOOKUP(C180,customers!$A$1:$A$1001,customers!$I$1:$I$1001,0)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IF(_xlfn.XLOOKUP(C181,customers!$A$1:$A$1001,customers!$C$1:$C$1001,)=0,"",_xlfn.XLOOKUP(C181,customers!$A$1:$A$1001,customers!$C$1:$C$1001,))</f>
        <v/>
      </c>
      <c r="H181" s="2" t="str" cm="1">
        <f t="array" ref="H181">_xlfn.XLOOKUP(C181,customers!$A$1:$A$1001,customers!$G$1:$G$1001,customers!A180:H1153)</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7">
        <f t="shared" si="6"/>
        <v>2.9849999999999999</v>
      </c>
      <c r="N181" t="str">
        <f t="shared" si="7"/>
        <v>Arabic</v>
      </c>
      <c r="O181" t="str">
        <f t="shared" si="8"/>
        <v>Dark</v>
      </c>
      <c r="P181" t="str">
        <f>_xlfn.XLOOKUP(C181,customers!$A$1:$A$1001,customers!$I$1:$I$1001,0)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IF(_xlfn.XLOOKUP(C182,customers!$A$1:$A$1001,customers!$C$1:$C$1001,)=0,"",_xlfn.XLOOKUP(C182,customers!$A$1:$A$1001,customers!$C$1:$C$1001,))</f>
        <v>amussen50@51.la</v>
      </c>
      <c r="H182" s="2" t="str" cm="1">
        <f t="array" ref="H182">_xlfn.XLOOKUP(C182,customers!$A$1:$A$1001,customers!$G$1:$G$1001,customers!A181:H1154)</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7">
        <f t="shared" si="6"/>
        <v>22.274999999999999</v>
      </c>
      <c r="N182" t="str">
        <f t="shared" si="7"/>
        <v>Excelsa</v>
      </c>
      <c r="O182" t="str">
        <f t="shared" si="8"/>
        <v>Large</v>
      </c>
      <c r="P182" t="str">
        <f>_xlfn.XLOOKUP(C182,customers!$A$1:$A$1001,customers!$I$1:$I$1001,0)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IF(_xlfn.XLOOKUP(C183,customers!$A$1:$A$1001,customers!$C$1:$C$1001,)=0,"",_xlfn.XLOOKUP(C183,customers!$A$1:$A$1001,customers!$C$1:$C$1001,))</f>
        <v>amussen50@51.la</v>
      </c>
      <c r="H183" s="2" t="str" cm="1">
        <f t="array" ref="H183">_xlfn.XLOOKUP(C183,customers!$A$1:$A$1001,customers!$G$1:$G$1001,customers!A182:H1155)</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7">
        <f t="shared" si="6"/>
        <v>29.849999999999998</v>
      </c>
      <c r="N183" t="str">
        <f t="shared" si="7"/>
        <v>Arabic</v>
      </c>
      <c r="O183" t="str">
        <f t="shared" si="8"/>
        <v>Dark</v>
      </c>
      <c r="P183" t="str">
        <f>_xlfn.XLOOKUP(C183,customers!$A$1:$A$1001,customers!$I$1:$I$1001,0)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IF(_xlfn.XLOOKUP(C184,customers!$A$1:$A$1001,customers!$C$1:$C$1001,)=0,"",_xlfn.XLOOKUP(C184,customers!$A$1:$A$1001,customers!$C$1:$C$1001,))</f>
        <v>amundford52@nbcnews.com</v>
      </c>
      <c r="H184" s="2" t="str" cm="1">
        <f t="array" ref="H184">_xlfn.XLOOKUP(C184,customers!$A$1:$A$1001,customers!$G$1:$G$1001,customers!A183:H1156)</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7">
        <f t="shared" si="6"/>
        <v>32.22</v>
      </c>
      <c r="N184" t="str">
        <f t="shared" si="7"/>
        <v>Robusta</v>
      </c>
      <c r="O184" t="str">
        <f t="shared" si="8"/>
        <v>Dark</v>
      </c>
      <c r="P184" t="str">
        <f>_xlfn.XLOOKUP(C184,customers!$A$1:$A$1001,customers!$I$1:$I$1001,0)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IF(_xlfn.XLOOKUP(C185,customers!$A$1:$A$1001,customers!$C$1:$C$1001,)=0,"",_xlfn.XLOOKUP(C185,customers!$A$1:$A$1001,customers!$C$1:$C$1001,))</f>
        <v>twalas53@google.ca</v>
      </c>
      <c r="H185" s="2" t="str" cm="1">
        <f t="array" ref="H185">_xlfn.XLOOKUP(C185,customers!$A$1:$A$1001,customers!$G$1:$G$1001,customers!A184:H1157)</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7">
        <f t="shared" si="6"/>
        <v>8.25</v>
      </c>
      <c r="N185" t="str">
        <f t="shared" si="7"/>
        <v>Excelsa</v>
      </c>
      <c r="O185" t="str">
        <f t="shared" si="8"/>
        <v>Medium</v>
      </c>
      <c r="P185" t="str">
        <f>_xlfn.XLOOKUP(C185,customers!$A$1:$A$1001,customers!$I$1:$I$1001,0)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IF(_xlfn.XLOOKUP(C186,customers!$A$1:$A$1001,customers!$C$1:$C$1001,)=0,"",_xlfn.XLOOKUP(C186,customers!$A$1:$A$1001,customers!$C$1:$C$1001,))</f>
        <v>iblazewicz54@thetimes.co.uk</v>
      </c>
      <c r="H186" s="2" t="str" cm="1">
        <f t="array" ref="H186">_xlfn.XLOOKUP(C186,customers!$A$1:$A$1001,customers!$G$1:$G$1001,customers!A185:H1158)</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7">
        <f t="shared" si="6"/>
        <v>31.08</v>
      </c>
      <c r="N186" t="str">
        <f t="shared" si="7"/>
        <v>Arabic</v>
      </c>
      <c r="O186" t="str">
        <f t="shared" si="8"/>
        <v>Large</v>
      </c>
      <c r="P186" t="str">
        <f>_xlfn.XLOOKUP(C186,customers!$A$1:$A$1001,customers!$I$1:$I$1001,0)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IF(_xlfn.XLOOKUP(C187,customers!$A$1:$A$1001,customers!$C$1:$C$1001,)=0,"",_xlfn.XLOOKUP(C187,customers!$A$1:$A$1001,customers!$C$1:$C$1001,))</f>
        <v>arizzetti55@naver.com</v>
      </c>
      <c r="H187" s="2" t="str" cm="1">
        <f t="array" ref="H187">_xlfn.XLOOKUP(C187,customers!$A$1:$A$1001,customers!$G$1:$G$1001,customers!A186:H1159)</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7">
        <f t="shared" si="6"/>
        <v>36.450000000000003</v>
      </c>
      <c r="N187" t="str">
        <f t="shared" si="7"/>
        <v>Excelsa</v>
      </c>
      <c r="O187" t="str">
        <f t="shared" si="8"/>
        <v>Dark</v>
      </c>
      <c r="P187" t="str">
        <f>_xlfn.XLOOKUP(C187,customers!$A$1:$A$1001,customers!$I$1:$I$1001,0)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IF(_xlfn.XLOOKUP(C188,customers!$A$1:$A$1001,customers!$C$1:$C$1001,)=0,"",_xlfn.XLOOKUP(C188,customers!$A$1:$A$1001,customers!$C$1:$C$1001,))</f>
        <v>mmeriet56@noaa.gov</v>
      </c>
      <c r="H188" s="2" t="str" cm="1">
        <f t="array" ref="H188">_xlfn.XLOOKUP(C188,customers!$A$1:$A$1001,customers!$G$1:$G$1001,customers!A187:H1160)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7">
        <f t="shared" si="6"/>
        <v>68.655000000000001</v>
      </c>
      <c r="N188" t="str">
        <f t="shared" si="7"/>
        <v>Robusta</v>
      </c>
      <c r="O188" t="str">
        <f t="shared" si="8"/>
        <v>Medium</v>
      </c>
      <c r="P188" t="str">
        <f>_xlfn.XLOOKUP(C188,customers!$A$1:$A$1001,customers!$I$1:$I$1001,0)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IF(_xlfn.XLOOKUP(C189,customers!$A$1:$A$1001,customers!$C$1:$C$1001,)=0,"",_xlfn.XLOOKUP(C189,customers!$A$1:$A$1001,customers!$C$1:$C$1001,))</f>
        <v>lpratt57@netvibes.com</v>
      </c>
      <c r="H189" s="2" t="str" cm="1">
        <f t="array" ref="H189">_xlfn.XLOOKUP(C189,customers!$A$1:$A$1001,customers!$G$1:$G$1001,customers!A188:H1161)</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7">
        <f t="shared" si="6"/>
        <v>43.650000000000006</v>
      </c>
      <c r="N189" t="str">
        <f t="shared" si="7"/>
        <v>Librica</v>
      </c>
      <c r="O189" t="str">
        <f t="shared" si="8"/>
        <v>Medium</v>
      </c>
      <c r="P189" t="str">
        <f>_xlfn.XLOOKUP(C189,customers!$A$1:$A$1001,customers!$I$1:$I$1001,0)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IF(_xlfn.XLOOKUP(C190,customers!$A$1:$A$1001,customers!$C$1:$C$1001,)=0,"",_xlfn.XLOOKUP(C190,customers!$A$1:$A$1001,customers!$C$1:$C$1001,))</f>
        <v>akitchingham58@com.com</v>
      </c>
      <c r="H190" s="2" t="str" cm="1">
        <f t="array" ref="H190">_xlfn.XLOOKUP(C190,customers!$A$1:$A$1001,customers!$G$1:$G$1001,customers!A189:H1162)</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7">
        <f t="shared" si="6"/>
        <v>4.4550000000000001</v>
      </c>
      <c r="N190" t="str">
        <f t="shared" si="7"/>
        <v>Excelsa</v>
      </c>
      <c r="O190" t="str">
        <f t="shared" si="8"/>
        <v>Large</v>
      </c>
      <c r="P190" t="str">
        <f>_xlfn.XLOOKUP(C190,customers!$A$1:$A$1001,customers!$I$1:$I$1001,0)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IF(_xlfn.XLOOKUP(C191,customers!$A$1:$A$1001,customers!$C$1:$C$1001,)=0,"",_xlfn.XLOOKUP(C191,customers!$A$1:$A$1001,customers!$C$1:$C$1001,))</f>
        <v>bbartholin59@xinhuanet.com</v>
      </c>
      <c r="H191" s="2" t="str" cm="1">
        <f t="array" ref="H191">_xlfn.XLOOKUP(C191,customers!$A$1:$A$1001,customers!$G$1:$G$1001,customers!A190:H1163)</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7">
        <f t="shared" si="6"/>
        <v>43.650000000000006</v>
      </c>
      <c r="N191" t="str">
        <f t="shared" si="7"/>
        <v>Librica</v>
      </c>
      <c r="O191" t="str">
        <f t="shared" si="8"/>
        <v>Medium</v>
      </c>
      <c r="P191" t="str">
        <f>_xlfn.XLOOKUP(C191,customers!$A$1:$A$1001,customers!$I$1:$I$1001,0)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IF(_xlfn.XLOOKUP(C192,customers!$A$1:$A$1001,customers!$C$1:$C$1001,)=0,"",_xlfn.XLOOKUP(C192,customers!$A$1:$A$1001,customers!$C$1:$C$1001,))</f>
        <v>mprinn5a@usa.gov</v>
      </c>
      <c r="H192" s="2" t="str" cm="1">
        <f t="array" ref="H192">_xlfn.XLOOKUP(C192,customers!$A$1:$A$1001,customers!$G$1:$G$1001,customers!A191:H1164)</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7">
        <f t="shared" si="6"/>
        <v>33.464999999999996</v>
      </c>
      <c r="N192" t="str">
        <f t="shared" si="7"/>
        <v>Librica</v>
      </c>
      <c r="O192" t="str">
        <f t="shared" si="8"/>
        <v>Medium</v>
      </c>
      <c r="P192" t="str">
        <f>_xlfn.XLOOKUP(C192,customers!$A$1:$A$1001,customers!$I$1:$I$1001,0)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IF(_xlfn.XLOOKUP(C193,customers!$A$1:$A$1001,customers!$C$1:$C$1001,)=0,"",_xlfn.XLOOKUP(C193,customers!$A$1:$A$1001,customers!$C$1:$C$1001,))</f>
        <v>abaudino5b@netvibes.com</v>
      </c>
      <c r="H193" s="2" t="str" cm="1">
        <f t="array" ref="H193">_xlfn.XLOOKUP(C193,customers!$A$1:$A$1001,customers!$G$1:$G$1001,customers!A192:H1165)</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7">
        <f t="shared" si="6"/>
        <v>19.424999999999997</v>
      </c>
      <c r="N193" t="str">
        <f t="shared" si="7"/>
        <v>Librica</v>
      </c>
      <c r="O193" t="str">
        <f t="shared" si="8"/>
        <v>Dark</v>
      </c>
      <c r="P193" t="str">
        <f>_xlfn.XLOOKUP(C193,customers!$A$1:$A$1001,customers!$I$1:$I$1001,0)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IF(_xlfn.XLOOKUP(C194,customers!$A$1:$A$1001,customers!$C$1:$C$1001,)=0,"",_xlfn.XLOOKUP(C194,customers!$A$1:$A$1001,customers!$C$1:$C$1001,))</f>
        <v>ppetrushanko5c@blinklist.com</v>
      </c>
      <c r="H194" s="2" t="str" cm="1">
        <f t="array" ref="H194">_xlfn.XLOOKUP(C194,customers!$A$1:$A$1001,customers!$G$1:$G$1001,customers!A193:H1166)</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7">
        <f t="shared" si="6"/>
        <v>72.900000000000006</v>
      </c>
      <c r="N194" t="str">
        <f t="shared" si="7"/>
        <v>Excelsa</v>
      </c>
      <c r="O194" t="str">
        <f t="shared" si="8"/>
        <v>Dark</v>
      </c>
      <c r="P194" t="str">
        <f>_xlfn.XLOOKUP(C194,customers!$A$1:$A$1001,customers!$I$1:$I$1001,0)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IF(_xlfn.XLOOKUP(C195,customers!$A$1:$A$1001,customers!$C$1:$C$1001,)=0,"",_xlfn.XLOOKUP(C195,customers!$A$1:$A$1001,customers!$C$1:$C$1001,))</f>
        <v/>
      </c>
      <c r="H195" s="2" t="str" cm="1">
        <f t="array" ref="H195">_xlfn.XLOOKUP(C195,customers!$A$1:$A$1001,customers!$G$1:$G$1001,customers!A194:H1167)</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7">
        <f t="shared" ref="M195:M258" si="9">L195*E195</f>
        <v>44.55</v>
      </c>
      <c r="N195" t="str">
        <f t="shared" ref="N195:N258" si="10">IF(I195="Rob","Robusta",IF(I195="Exc","Excelsa",IF(I195="Ara","Arabic",IF(I195="Lib","Librica"))))</f>
        <v>Excelsa</v>
      </c>
      <c r="O195" t="str">
        <f t="shared" ref="O195:O258" si="11">IF(J195="M","Medium",IF(J195="L","Large",IF(J195="D","Dark")))</f>
        <v>Large</v>
      </c>
      <c r="P195" t="str">
        <f>_xlfn.XLOOKUP(C195,customers!$A$1:$A$1001,customers!$I$1:$I$1001,0)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IF(_xlfn.XLOOKUP(C196,customers!$A$1:$A$1001,customers!$C$1:$C$1001,)=0,"",_xlfn.XLOOKUP(C196,customers!$A$1:$A$1001,customers!$C$1:$C$1001,))</f>
        <v>elaird5e@bing.com</v>
      </c>
      <c r="H196" s="2" t="str" cm="1">
        <f t="array" ref="H196">_xlfn.XLOOKUP(C196,customers!$A$1:$A$1001,customers!$G$1:$G$1001,customers!A195:H1168)</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7">
        <f t="shared" si="9"/>
        <v>36.450000000000003</v>
      </c>
      <c r="N196" t="str">
        <f t="shared" si="10"/>
        <v>Excelsa</v>
      </c>
      <c r="O196" t="str">
        <f t="shared" si="11"/>
        <v>Dark</v>
      </c>
      <c r="P196" t="str">
        <f>_xlfn.XLOOKUP(C196,customers!$A$1:$A$1001,customers!$I$1:$I$1001,0)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IF(_xlfn.XLOOKUP(C197,customers!$A$1:$A$1001,customers!$C$1:$C$1001,)=0,"",_xlfn.XLOOKUP(C197,customers!$A$1:$A$1001,customers!$C$1:$C$1001,))</f>
        <v>mhowsden5f@infoseek.co.jp</v>
      </c>
      <c r="H197" s="2" t="str" cm="1">
        <f t="array" ref="H197">_xlfn.XLOOKUP(C197,customers!$A$1:$A$1001,customers!$G$1:$G$1001,customers!A196:H1169)</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7">
        <f t="shared" si="9"/>
        <v>38.849999999999994</v>
      </c>
      <c r="N197" t="str">
        <f t="shared" si="10"/>
        <v>Arabic</v>
      </c>
      <c r="O197" t="str">
        <f t="shared" si="11"/>
        <v>Large</v>
      </c>
      <c r="P197" t="str">
        <f>_xlfn.XLOOKUP(C197,customers!$A$1:$A$1001,customers!$I$1:$I$1001,0)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IF(_xlfn.XLOOKUP(C198,customers!$A$1:$A$1001,customers!$C$1:$C$1001,)=0,"",_xlfn.XLOOKUP(C198,customers!$A$1:$A$1001,customers!$C$1:$C$1001,))</f>
        <v>ncuttler5g@parallels.com</v>
      </c>
      <c r="H198" s="2" t="str" cm="1">
        <f t="array" ref="H198">_xlfn.XLOOKUP(C198,customers!$A$1:$A$1001,customers!$G$1:$G$1001,customers!A197:H1170)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7">
        <f t="shared" si="9"/>
        <v>53.46</v>
      </c>
      <c r="N198" t="str">
        <f t="shared" si="10"/>
        <v>Excelsa</v>
      </c>
      <c r="O198" t="str">
        <f t="shared" si="11"/>
        <v>Large</v>
      </c>
      <c r="P198" t="str">
        <f>_xlfn.XLOOKUP(C198,customers!$A$1:$A$1001,customers!$I$1:$I$1001,0)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IF(_xlfn.XLOOKUP(C199,customers!$A$1:$A$1001,customers!$C$1:$C$1001,)=0,"",_xlfn.XLOOKUP(C199,customers!$A$1:$A$1001,customers!$C$1:$C$1001,))</f>
        <v>ncuttler5g@parallels.com</v>
      </c>
      <c r="H199" s="2" t="str" cm="1">
        <f t="array" ref="H199">_xlfn.XLOOKUP(C199,customers!$A$1:$A$1001,customers!$G$1:$G$1001,customers!A198:H1171)</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7">
        <f t="shared" si="9"/>
        <v>59.569999999999993</v>
      </c>
      <c r="N199" t="str">
        <f t="shared" si="10"/>
        <v>Librica</v>
      </c>
      <c r="O199" t="str">
        <f t="shared" si="11"/>
        <v>Dark</v>
      </c>
      <c r="P199" t="str">
        <f>_xlfn.XLOOKUP(C199,customers!$A$1:$A$1001,customers!$I$1:$I$1001,0)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IF(_xlfn.XLOOKUP(C200,customers!$A$1:$A$1001,customers!$C$1:$C$1001,)=0,"",_xlfn.XLOOKUP(C200,customers!$A$1:$A$1001,customers!$C$1:$C$1001,))</f>
        <v>ncuttler5g@parallels.com</v>
      </c>
      <c r="H200" s="2" t="str" cm="1">
        <f t="array" ref="H200">_xlfn.XLOOKUP(C200,customers!$A$1:$A$1001,customers!$G$1:$G$1001,customers!A199:H1172)</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7">
        <f t="shared" si="9"/>
        <v>89.35499999999999</v>
      </c>
      <c r="N200" t="str">
        <f t="shared" si="10"/>
        <v>Librica</v>
      </c>
      <c r="O200" t="str">
        <f t="shared" si="11"/>
        <v>Dark</v>
      </c>
      <c r="P200" t="str">
        <f>_xlfn.XLOOKUP(C200,customers!$A$1:$A$1001,customers!$I$1:$I$1001,0)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IF(_xlfn.XLOOKUP(C201,customers!$A$1:$A$1001,customers!$C$1:$C$1001,)=0,"",_xlfn.XLOOKUP(C201,customers!$A$1:$A$1001,customers!$C$1:$C$1001,))</f>
        <v>ncuttler5g@parallels.com</v>
      </c>
      <c r="H201" s="2" t="str" cm="1">
        <f t="array" ref="H201">_xlfn.XLOOKUP(C201,customers!$A$1:$A$1001,customers!$G$1:$G$1001,customers!A200:H1173)</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7">
        <f t="shared" si="9"/>
        <v>38.04</v>
      </c>
      <c r="N201" t="str">
        <f t="shared" si="10"/>
        <v>Librica</v>
      </c>
      <c r="O201" t="str">
        <f t="shared" si="11"/>
        <v>Large</v>
      </c>
      <c r="P201" t="str">
        <f>_xlfn.XLOOKUP(C201,customers!$A$1:$A$1001,customers!$I$1:$I$1001,0)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IF(_xlfn.XLOOKUP(C202,customers!$A$1:$A$1001,customers!$C$1:$C$1001,)=0,"",_xlfn.XLOOKUP(C202,customers!$A$1:$A$1001,customers!$C$1:$C$1001,))</f>
        <v>ncuttler5g@parallels.com</v>
      </c>
      <c r="H202" s="2" t="str" cm="1">
        <f t="array" ref="H202">_xlfn.XLOOKUP(C202,customers!$A$1:$A$1001,customers!$G$1:$G$1001,customers!A201:H1174)</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7">
        <f t="shared" si="9"/>
        <v>41.25</v>
      </c>
      <c r="N202" t="str">
        <f t="shared" si="10"/>
        <v>Excelsa</v>
      </c>
      <c r="O202" t="str">
        <f t="shared" si="11"/>
        <v>Medium</v>
      </c>
      <c r="P202" t="str">
        <f>_xlfn.XLOOKUP(C202,customers!$A$1:$A$1001,customers!$I$1:$I$1001,0)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IF(_xlfn.XLOOKUP(C203,customers!$A$1:$A$1001,customers!$C$1:$C$1001,)=0,"",_xlfn.XLOOKUP(C203,customers!$A$1:$A$1001,customers!$C$1:$C$1001,))</f>
        <v/>
      </c>
      <c r="H203" s="2" t="str" cm="1">
        <f t="array" ref="H203">_xlfn.XLOOKUP(C203,customers!$A$1:$A$1001,customers!$G$1:$G$1001,customers!A202:H1175)</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7">
        <f t="shared" si="9"/>
        <v>57.06</v>
      </c>
      <c r="N203" t="str">
        <f t="shared" si="10"/>
        <v>Librica</v>
      </c>
      <c r="O203" t="str">
        <f t="shared" si="11"/>
        <v>Large</v>
      </c>
      <c r="P203" t="str">
        <f>_xlfn.XLOOKUP(C203,customers!$A$1:$A$1001,customers!$I$1:$I$1001,0)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IF(_xlfn.XLOOKUP(C204,customers!$A$1:$A$1001,customers!$C$1:$C$1001,)=0,"",_xlfn.XLOOKUP(C204,customers!$A$1:$A$1001,customers!$C$1:$C$1001,))</f>
        <v>tfelip5m@typepad.com</v>
      </c>
      <c r="H204" s="2" t="str" cm="1">
        <f t="array" ref="H204">_xlfn.XLOOKUP(C204,customers!$A$1:$A$1001,customers!$G$1:$G$1001,customers!A203:H1176)</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7">
        <f t="shared" si="9"/>
        <v>178.70999999999998</v>
      </c>
      <c r="N204" t="str">
        <f t="shared" si="10"/>
        <v>Librica</v>
      </c>
      <c r="O204" t="str">
        <f t="shared" si="11"/>
        <v>Dark</v>
      </c>
      <c r="P204" t="str">
        <f>_xlfn.XLOOKUP(C204,customers!$A$1:$A$1001,customers!$I$1:$I$1001,0)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IF(_xlfn.XLOOKUP(C205,customers!$A$1:$A$1001,customers!$C$1:$C$1001,)=0,"",_xlfn.XLOOKUP(C205,customers!$A$1:$A$1001,customers!$C$1:$C$1001,))</f>
        <v>vle5n@disqus.com</v>
      </c>
      <c r="H205" s="2" t="str" cm="1">
        <f t="array" ref="H205">_xlfn.XLOOKUP(C205,customers!$A$1:$A$1001,customers!$G$1:$G$1001,customers!A204:H1177)</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7">
        <f t="shared" si="9"/>
        <v>4.7549999999999999</v>
      </c>
      <c r="N205" t="str">
        <f t="shared" si="10"/>
        <v>Librica</v>
      </c>
      <c r="O205" t="str">
        <f t="shared" si="11"/>
        <v>Large</v>
      </c>
      <c r="P205" t="str">
        <f>_xlfn.XLOOKUP(C205,customers!$A$1:$A$1001,customers!$I$1:$I$1001,0)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IF(_xlfn.XLOOKUP(C206,customers!$A$1:$A$1001,customers!$C$1:$C$1001,)=0,"",_xlfn.XLOOKUP(C206,customers!$A$1:$A$1001,customers!$C$1:$C$1001,))</f>
        <v/>
      </c>
      <c r="H206" s="2" t="str" cm="1">
        <f t="array" ref="H206">_xlfn.XLOOKUP(C206,customers!$A$1:$A$1001,customers!$G$1:$G$1001,customers!A205:H1178)</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7">
        <f t="shared" si="9"/>
        <v>82.5</v>
      </c>
      <c r="N206" t="str">
        <f t="shared" si="10"/>
        <v>Excelsa</v>
      </c>
      <c r="O206" t="str">
        <f t="shared" si="11"/>
        <v>Medium</v>
      </c>
      <c r="P206" t="str">
        <f>_xlfn.XLOOKUP(C206,customers!$A$1:$A$1001,customers!$I$1:$I$1001,0)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IF(_xlfn.XLOOKUP(C207,customers!$A$1:$A$1001,customers!$C$1:$C$1001,)=0,"",_xlfn.XLOOKUP(C207,customers!$A$1:$A$1001,customers!$C$1:$C$1001,))</f>
        <v/>
      </c>
      <c r="H207" s="2" t="str" cm="1">
        <f t="array" ref="H207">_xlfn.XLOOKUP(C207,customers!$A$1:$A$1001,customers!$G$1:$G$1001,customers!A206:H1179)</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7">
        <f t="shared" si="9"/>
        <v>8.0549999999999997</v>
      </c>
      <c r="N207" t="str">
        <f t="shared" si="10"/>
        <v>Robusta</v>
      </c>
      <c r="O207" t="str">
        <f t="shared" si="11"/>
        <v>Dark</v>
      </c>
      <c r="P207" t="str">
        <f>_xlfn.XLOOKUP(C207,customers!$A$1:$A$1001,customers!$I$1:$I$1001,0)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IF(_xlfn.XLOOKUP(C208,customers!$A$1:$A$1001,customers!$C$1:$C$1001,)=0,"",_xlfn.XLOOKUP(C208,customers!$A$1:$A$1001,customers!$C$1:$C$1001,))</f>
        <v>npoolman5q@howstuffworks.com</v>
      </c>
      <c r="H208" s="2" t="str" cm="1">
        <f t="array" ref="H208">_xlfn.XLOOKUP(C208,customers!$A$1:$A$1001,customers!$G$1:$G$1001,customers!A207:H1180)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7">
        <f t="shared" si="9"/>
        <v>22.5</v>
      </c>
      <c r="N208" t="str">
        <f t="shared" si="10"/>
        <v>Arabic</v>
      </c>
      <c r="O208" t="str">
        <f t="shared" si="11"/>
        <v>Medium</v>
      </c>
      <c r="P208" t="str">
        <f>_xlfn.XLOOKUP(C208,customers!$A$1:$A$1001,customers!$I$1:$I$1001,0)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IF(_xlfn.XLOOKUP(C209,customers!$A$1:$A$1001,customers!$C$1:$C$1001,)=0,"",_xlfn.XLOOKUP(C209,customers!$A$1:$A$1001,customers!$C$1:$C$1001,))</f>
        <v>oduny5r@constantcontact.com</v>
      </c>
      <c r="H209" s="2" t="str" cm="1">
        <f t="array" ref="H209">_xlfn.XLOOKUP(C209,customers!$A$1:$A$1001,customers!$G$1:$G$1001,customers!A208:H1181)</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7">
        <f t="shared" si="9"/>
        <v>40.5</v>
      </c>
      <c r="N209" t="str">
        <f t="shared" si="10"/>
        <v>Arabic</v>
      </c>
      <c r="O209" t="str">
        <f t="shared" si="11"/>
        <v>Medium</v>
      </c>
      <c r="P209" t="str">
        <f>_xlfn.XLOOKUP(C209,customers!$A$1:$A$1001,customers!$I$1:$I$1001,0)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IF(_xlfn.XLOOKUP(C210,customers!$A$1:$A$1001,customers!$C$1:$C$1001,)=0,"",_xlfn.XLOOKUP(C210,customers!$A$1:$A$1001,customers!$C$1:$C$1001,))</f>
        <v>chalfhide5s@google.ru</v>
      </c>
      <c r="H210" s="2" t="str" cm="1">
        <f t="array" ref="H210">_xlfn.XLOOKUP(C210,customers!$A$1:$A$1001,customers!$G$1:$G$1001,customers!A209:H1182)</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7">
        <f t="shared" si="9"/>
        <v>29.16</v>
      </c>
      <c r="N210" t="str">
        <f t="shared" si="10"/>
        <v>Excelsa</v>
      </c>
      <c r="O210" t="str">
        <f t="shared" si="11"/>
        <v>Dark</v>
      </c>
      <c r="P210" t="str">
        <f>_xlfn.XLOOKUP(C210,customers!$A$1:$A$1001,customers!$I$1:$I$1001,0)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IF(_xlfn.XLOOKUP(C211,customers!$A$1:$A$1001,customers!$C$1:$C$1001,)=0,"",_xlfn.XLOOKUP(C211,customers!$A$1:$A$1001,customers!$C$1:$C$1001,))</f>
        <v>fmalecky5t@list-manage.com</v>
      </c>
      <c r="H211" s="2" t="str" cm="1">
        <f t="array" ref="H211">_xlfn.XLOOKUP(C211,customers!$A$1:$A$1001,customers!$G$1:$G$1001,customers!A210:H1183)</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7">
        <f t="shared" si="9"/>
        <v>6.75</v>
      </c>
      <c r="N211" t="str">
        <f t="shared" si="10"/>
        <v>Arabic</v>
      </c>
      <c r="O211" t="str">
        <f t="shared" si="11"/>
        <v>Medium</v>
      </c>
      <c r="P211" t="str">
        <f>_xlfn.XLOOKUP(C211,customers!$A$1:$A$1001,customers!$I$1:$I$1001,0)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IF(_xlfn.XLOOKUP(C212,customers!$A$1:$A$1001,customers!$C$1:$C$1001,)=0,"",_xlfn.XLOOKUP(C212,customers!$A$1:$A$1001,customers!$C$1:$C$1001,))</f>
        <v>aattwater5u@wikia.com</v>
      </c>
      <c r="H212" s="2" t="str" cm="1">
        <f t="array" ref="H212">_xlfn.XLOOKUP(C212,customers!$A$1:$A$1001,customers!$G$1:$G$1001,customers!A211:H1184)</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7">
        <f t="shared" si="9"/>
        <v>51.8</v>
      </c>
      <c r="N212" t="str">
        <f t="shared" si="10"/>
        <v>Librica</v>
      </c>
      <c r="O212" t="str">
        <f t="shared" si="11"/>
        <v>Dark</v>
      </c>
      <c r="P212" t="str">
        <f>_xlfn.XLOOKUP(C212,customers!$A$1:$A$1001,customers!$I$1:$I$1001,0)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IF(_xlfn.XLOOKUP(C213,customers!$A$1:$A$1001,customers!$C$1:$C$1001,)=0,"",_xlfn.XLOOKUP(C213,customers!$A$1:$A$1001,customers!$C$1:$C$1001,))</f>
        <v>mwhellans5v@mapquest.com</v>
      </c>
      <c r="H213" s="2" t="str" cm="1">
        <f t="array" ref="H213">_xlfn.XLOOKUP(C213,customers!$A$1:$A$1001,customers!$G$1:$G$1001,customers!A212:H1185)</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7">
        <f t="shared" si="9"/>
        <v>53.46</v>
      </c>
      <c r="N213" t="str">
        <f t="shared" si="10"/>
        <v>Excelsa</v>
      </c>
      <c r="O213" t="str">
        <f t="shared" si="11"/>
        <v>Large</v>
      </c>
      <c r="P213" t="str">
        <f>_xlfn.XLOOKUP(C213,customers!$A$1:$A$1001,customers!$I$1:$I$1001,0)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IF(_xlfn.XLOOKUP(C214,customers!$A$1:$A$1001,customers!$C$1:$C$1001,)=0,"",_xlfn.XLOOKUP(C214,customers!$A$1:$A$1001,customers!$C$1:$C$1001,))</f>
        <v>dcamilletti5w@businesswire.com</v>
      </c>
      <c r="H214" s="2" t="str" cm="1">
        <f t="array" ref="H214">_xlfn.XLOOKUP(C214,customers!$A$1:$A$1001,customers!$G$1:$G$1001,customers!A213:H1186)</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7">
        <f t="shared" si="9"/>
        <v>14.58</v>
      </c>
      <c r="N214" t="str">
        <f t="shared" si="10"/>
        <v>Excelsa</v>
      </c>
      <c r="O214" t="str">
        <f t="shared" si="11"/>
        <v>Dark</v>
      </c>
      <c r="P214" t="str">
        <f>_xlfn.XLOOKUP(C214,customers!$A$1:$A$1001,customers!$I$1:$I$1001,0)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IF(_xlfn.XLOOKUP(C215,customers!$A$1:$A$1001,customers!$C$1:$C$1001,)=0,"",_xlfn.XLOOKUP(C215,customers!$A$1:$A$1001,customers!$C$1:$C$1001,))</f>
        <v>egalgey5x@wufoo.com</v>
      </c>
      <c r="H215" s="2" t="str" cm="1">
        <f t="array" ref="H215">_xlfn.XLOOKUP(C215,customers!$A$1:$A$1001,customers!$G$1:$G$1001,customers!A214:H1187)</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7">
        <f t="shared" si="9"/>
        <v>20.584999999999997</v>
      </c>
      <c r="N215" t="str">
        <f t="shared" si="10"/>
        <v>Robusta</v>
      </c>
      <c r="O215" t="str">
        <f t="shared" si="11"/>
        <v>Dark</v>
      </c>
      <c r="P215" t="str">
        <f>_xlfn.XLOOKUP(C215,customers!$A$1:$A$1001,customers!$I$1:$I$1001,0)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IF(_xlfn.XLOOKUP(C216,customers!$A$1:$A$1001,customers!$C$1:$C$1001,)=0,"",_xlfn.XLOOKUP(C216,customers!$A$1:$A$1001,customers!$C$1:$C$1001,))</f>
        <v>mhame5y@newsvine.com</v>
      </c>
      <c r="H216" s="2" t="str" cm="1">
        <f t="array" ref="H216">_xlfn.XLOOKUP(C216,customers!$A$1:$A$1001,customers!$G$1:$G$1001,customers!A215:H1188)</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7">
        <f t="shared" si="9"/>
        <v>31.7</v>
      </c>
      <c r="N216" t="str">
        <f t="shared" si="10"/>
        <v>Librica</v>
      </c>
      <c r="O216" t="str">
        <f t="shared" si="11"/>
        <v>Large</v>
      </c>
      <c r="P216" t="str">
        <f>_xlfn.XLOOKUP(C216,customers!$A$1:$A$1001,customers!$I$1:$I$1001,0)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IF(_xlfn.XLOOKUP(C217,customers!$A$1:$A$1001,customers!$C$1:$C$1001,)=0,"",_xlfn.XLOOKUP(C217,customers!$A$1:$A$1001,customers!$C$1:$C$1001,))</f>
        <v>igurnee5z@usnews.com</v>
      </c>
      <c r="H217" s="2" t="str" cm="1">
        <f t="array" ref="H217">_xlfn.XLOOKUP(C217,customers!$A$1:$A$1001,customers!$G$1:$G$1001,customers!A216:H1189)</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7">
        <f t="shared" si="9"/>
        <v>23.31</v>
      </c>
      <c r="N217" t="str">
        <f t="shared" si="10"/>
        <v>Librica</v>
      </c>
      <c r="O217" t="str">
        <f t="shared" si="11"/>
        <v>Dark</v>
      </c>
      <c r="P217" t="str">
        <f>_xlfn.XLOOKUP(C217,customers!$A$1:$A$1001,customers!$I$1:$I$1001,0)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IF(_xlfn.XLOOKUP(C218,customers!$A$1:$A$1001,customers!$C$1:$C$1001,)=0,"",_xlfn.XLOOKUP(C218,customers!$A$1:$A$1001,customers!$C$1:$C$1001,))</f>
        <v>asnowding60@comsenz.com</v>
      </c>
      <c r="H218" s="2" t="str" cm="1">
        <f t="array" ref="H218">_xlfn.XLOOKUP(C218,customers!$A$1:$A$1001,customers!$G$1:$G$1001,customers!A217:H1190)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7">
        <f t="shared" si="9"/>
        <v>58.2</v>
      </c>
      <c r="N218" t="str">
        <f t="shared" si="10"/>
        <v>Librica</v>
      </c>
      <c r="O218" t="str">
        <f t="shared" si="11"/>
        <v>Medium</v>
      </c>
      <c r="P218" t="str">
        <f>_xlfn.XLOOKUP(C218,customers!$A$1:$A$1001,customers!$I$1:$I$1001,0)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IF(_xlfn.XLOOKUP(C219,customers!$A$1:$A$1001,customers!$C$1:$C$1001,)=0,"",_xlfn.XLOOKUP(C219,customers!$A$1:$A$1001,customers!$C$1:$C$1001,))</f>
        <v>gpoinsett61@berkeley.edu</v>
      </c>
      <c r="H219" s="2" t="str" cm="1">
        <f t="array" ref="H219">_xlfn.XLOOKUP(C219,customers!$A$1:$A$1001,customers!$G$1:$G$1001,customers!A218:H1191)</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7">
        <f t="shared" si="9"/>
        <v>35.64</v>
      </c>
      <c r="N219" t="str">
        <f t="shared" si="10"/>
        <v>Excelsa</v>
      </c>
      <c r="O219" t="str">
        <f t="shared" si="11"/>
        <v>Large</v>
      </c>
      <c r="P219" t="str">
        <f>_xlfn.XLOOKUP(C219,customers!$A$1:$A$1001,customers!$I$1:$I$1001,0)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IF(_xlfn.XLOOKUP(C220,customers!$A$1:$A$1001,customers!$C$1:$C$1001,)=0,"",_xlfn.XLOOKUP(C220,customers!$A$1:$A$1001,customers!$C$1:$C$1001,))</f>
        <v>rfurman62@t.co</v>
      </c>
      <c r="H220" s="2" t="str" cm="1">
        <f t="array" ref="H220">_xlfn.XLOOKUP(C220,customers!$A$1:$A$1001,customers!$G$1:$G$1001,customers!A219:H1192)</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7">
        <f t="shared" si="9"/>
        <v>56.25</v>
      </c>
      <c r="N220" t="str">
        <f t="shared" si="10"/>
        <v>Arabic</v>
      </c>
      <c r="O220" t="str">
        <f t="shared" si="11"/>
        <v>Medium</v>
      </c>
      <c r="P220" t="str">
        <f>_xlfn.XLOOKUP(C220,customers!$A$1:$A$1001,customers!$I$1:$I$1001,0)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IF(_xlfn.XLOOKUP(C221,customers!$A$1:$A$1001,customers!$C$1:$C$1001,)=0,"",_xlfn.XLOOKUP(C221,customers!$A$1:$A$1001,customers!$C$1:$C$1001,))</f>
        <v>ccrosier63@xrea.com</v>
      </c>
      <c r="H221" s="2" t="str" cm="1">
        <f t="array" ref="H221">_xlfn.XLOOKUP(C221,customers!$A$1:$A$1001,customers!$G$1:$G$1001,customers!A220:H1193)</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7">
        <f t="shared" si="9"/>
        <v>10.754999999999999</v>
      </c>
      <c r="N221" t="str">
        <f t="shared" si="10"/>
        <v>Robusta</v>
      </c>
      <c r="O221" t="str">
        <f t="shared" si="11"/>
        <v>Large</v>
      </c>
      <c r="P221" t="str">
        <f>_xlfn.XLOOKUP(C221,customers!$A$1:$A$1001,customers!$I$1:$I$1001,0)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IF(_xlfn.XLOOKUP(C222,customers!$A$1:$A$1001,customers!$C$1:$C$1001,)=0,"",_xlfn.XLOOKUP(C222,customers!$A$1:$A$1001,customers!$C$1:$C$1001,))</f>
        <v>ccrosier63@xrea.com</v>
      </c>
      <c r="H222" s="2" t="str" cm="1">
        <f t="array" ref="H222">_xlfn.XLOOKUP(C222,customers!$A$1:$A$1001,customers!$G$1:$G$1001,customers!A221:H1194)</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7">
        <f t="shared" si="9"/>
        <v>14.924999999999999</v>
      </c>
      <c r="N222" t="str">
        <f t="shared" si="10"/>
        <v>Robusta</v>
      </c>
      <c r="O222" t="str">
        <f t="shared" si="11"/>
        <v>Medium</v>
      </c>
      <c r="P222" t="str">
        <f>_xlfn.XLOOKUP(C222,customers!$A$1:$A$1001,customers!$I$1:$I$1001,0)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IF(_xlfn.XLOOKUP(C223,customers!$A$1:$A$1001,customers!$C$1:$C$1001,)=0,"",_xlfn.XLOOKUP(C223,customers!$A$1:$A$1001,customers!$C$1:$C$1001,))</f>
        <v>lrushmer65@europa.eu</v>
      </c>
      <c r="H223" s="2" t="str" cm="1">
        <f t="array" ref="H223">_xlfn.XLOOKUP(C223,customers!$A$1:$A$1001,customers!$G$1:$G$1001,customers!A222:H1195)</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7">
        <f t="shared" si="9"/>
        <v>77.699999999999989</v>
      </c>
      <c r="N223" t="str">
        <f t="shared" si="10"/>
        <v>Arabic</v>
      </c>
      <c r="O223" t="str">
        <f t="shared" si="11"/>
        <v>Large</v>
      </c>
      <c r="P223" t="str">
        <f>_xlfn.XLOOKUP(C223,customers!$A$1:$A$1001,customers!$I$1:$I$1001,0)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IF(_xlfn.XLOOKUP(C224,customers!$A$1:$A$1001,customers!$C$1:$C$1001,)=0,"",_xlfn.XLOOKUP(C224,customers!$A$1:$A$1001,customers!$C$1:$C$1001,))</f>
        <v>wedinborough66@github.io</v>
      </c>
      <c r="H224" s="2" t="str" cm="1">
        <f t="array" ref="H224">_xlfn.XLOOKUP(C224,customers!$A$1:$A$1001,customers!$G$1:$G$1001,customers!A223:H1196)</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7">
        <f t="shared" si="9"/>
        <v>23.31</v>
      </c>
      <c r="N224" t="str">
        <f t="shared" si="10"/>
        <v>Librica</v>
      </c>
      <c r="O224" t="str">
        <f t="shared" si="11"/>
        <v>Dark</v>
      </c>
      <c r="P224" t="str">
        <f>_xlfn.XLOOKUP(C224,customers!$A$1:$A$1001,customers!$I$1:$I$1001,0)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IF(_xlfn.XLOOKUP(C225,customers!$A$1:$A$1001,customers!$C$1:$C$1001,)=0,"",_xlfn.XLOOKUP(C225,customers!$A$1:$A$1001,customers!$C$1:$C$1001,))</f>
        <v/>
      </c>
      <c r="H225" s="2" t="str" cm="1">
        <f t="array" ref="H225">_xlfn.XLOOKUP(C225,customers!$A$1:$A$1001,customers!$G$1:$G$1001,customers!A224:H1197)</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7">
        <f t="shared" si="9"/>
        <v>59.4</v>
      </c>
      <c r="N225" t="str">
        <f t="shared" si="10"/>
        <v>Excelsa</v>
      </c>
      <c r="O225" t="str">
        <f t="shared" si="11"/>
        <v>Large</v>
      </c>
      <c r="P225" t="str">
        <f>_xlfn.XLOOKUP(C225,customers!$A$1:$A$1001,customers!$I$1:$I$1001,0)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IF(_xlfn.XLOOKUP(C226,customers!$A$1:$A$1001,customers!$C$1:$C$1001,)=0,"",_xlfn.XLOOKUP(C226,customers!$A$1:$A$1001,customers!$C$1:$C$1001,))</f>
        <v>kbromehead68@un.org</v>
      </c>
      <c r="H226" s="2" t="str" cm="1">
        <f t="array" ref="H226">_xlfn.XLOOKUP(C226,customers!$A$1:$A$1001,customers!$G$1:$G$1001,customers!A225:H1198)</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7">
        <f t="shared" si="9"/>
        <v>119.13999999999999</v>
      </c>
      <c r="N226" t="str">
        <f t="shared" si="10"/>
        <v>Librica</v>
      </c>
      <c r="O226" t="str">
        <f t="shared" si="11"/>
        <v>Dark</v>
      </c>
      <c r="P226" t="str">
        <f>_xlfn.XLOOKUP(C226,customers!$A$1:$A$1001,customers!$I$1:$I$1001,0)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IF(_xlfn.XLOOKUP(C227,customers!$A$1:$A$1001,customers!$C$1:$C$1001,)=0,"",_xlfn.XLOOKUP(C227,customers!$A$1:$A$1001,customers!$C$1:$C$1001,))</f>
        <v>ewesterman69@si.edu</v>
      </c>
      <c r="H227" s="2" t="str" cm="1">
        <f t="array" ref="H227">_xlfn.XLOOKUP(C227,customers!$A$1:$A$1001,customers!$G$1:$G$1001,customers!A226:H1199)</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7">
        <f t="shared" si="9"/>
        <v>14.339999999999998</v>
      </c>
      <c r="N227" t="str">
        <f t="shared" si="10"/>
        <v>Robusta</v>
      </c>
      <c r="O227" t="str">
        <f t="shared" si="11"/>
        <v>Large</v>
      </c>
      <c r="P227" t="str">
        <f>_xlfn.XLOOKUP(C227,customers!$A$1:$A$1001,customers!$I$1:$I$1001,0)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IF(_xlfn.XLOOKUP(C228,customers!$A$1:$A$1001,customers!$C$1:$C$1001,)=0,"",_xlfn.XLOOKUP(C228,customers!$A$1:$A$1001,customers!$C$1:$C$1001,))</f>
        <v>ahutchens6a@amazonaws.com</v>
      </c>
      <c r="H228" s="2" t="str" cm="1">
        <f t="array" ref="H228">_xlfn.XLOOKUP(C228,customers!$A$1:$A$1001,customers!$G$1:$G$1001,customers!A227:H1200)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7">
        <f t="shared" si="9"/>
        <v>129.37499999999997</v>
      </c>
      <c r="N228" t="str">
        <f t="shared" si="10"/>
        <v>Arabic</v>
      </c>
      <c r="O228" t="str">
        <f t="shared" si="11"/>
        <v>Medium</v>
      </c>
      <c r="P228" t="str">
        <f>_xlfn.XLOOKUP(C228,customers!$A$1:$A$1001,customers!$I$1:$I$1001,0)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IF(_xlfn.XLOOKUP(C229,customers!$A$1:$A$1001,customers!$C$1:$C$1001,)=0,"",_xlfn.XLOOKUP(C229,customers!$A$1:$A$1001,customers!$C$1:$C$1001,))</f>
        <v>nwyvill6b@naver.com</v>
      </c>
      <c r="H229" s="2" t="str" cm="1">
        <f t="array" ref="H229">_xlfn.XLOOKUP(C229,customers!$A$1:$A$1001,customers!$G$1:$G$1001,customers!A228:H1201)</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7">
        <f t="shared" si="9"/>
        <v>16.11</v>
      </c>
      <c r="N229" t="str">
        <f t="shared" si="10"/>
        <v>Robusta</v>
      </c>
      <c r="O229" t="str">
        <f t="shared" si="11"/>
        <v>Dark</v>
      </c>
      <c r="P229" t="str">
        <f>_xlfn.XLOOKUP(C229,customers!$A$1:$A$1001,customers!$I$1:$I$1001,0)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IF(_xlfn.XLOOKUP(C230,customers!$A$1:$A$1001,customers!$C$1:$C$1001,)=0,"",_xlfn.XLOOKUP(C230,customers!$A$1:$A$1001,customers!$C$1:$C$1001,))</f>
        <v>bmathon6c@barnesandnoble.com</v>
      </c>
      <c r="H230" s="2" t="str" cm="1">
        <f t="array" ref="H230">_xlfn.XLOOKUP(C230,customers!$A$1:$A$1001,customers!$G$1:$G$1001,customers!A229:H1202)</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7">
        <f t="shared" si="9"/>
        <v>17.924999999999997</v>
      </c>
      <c r="N230" t="str">
        <f t="shared" si="10"/>
        <v>Robusta</v>
      </c>
      <c r="O230" t="str">
        <f t="shared" si="11"/>
        <v>Large</v>
      </c>
      <c r="P230" t="str">
        <f>_xlfn.XLOOKUP(C230,customers!$A$1:$A$1001,customers!$I$1:$I$1001,0)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IF(_xlfn.XLOOKUP(C231,customers!$A$1:$A$1001,customers!$C$1:$C$1001,)=0,"",_xlfn.XLOOKUP(C231,customers!$A$1:$A$1001,customers!$C$1:$C$1001,))</f>
        <v>kstreight6d@about.com</v>
      </c>
      <c r="H231" s="2" t="str" cm="1">
        <f t="array" ref="H231">_xlfn.XLOOKUP(C231,customers!$A$1:$A$1001,customers!$G$1:$G$1001,customers!A230:H1203)</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7">
        <f t="shared" si="9"/>
        <v>8.73</v>
      </c>
      <c r="N231" t="str">
        <f t="shared" si="10"/>
        <v>Librica</v>
      </c>
      <c r="O231" t="str">
        <f t="shared" si="11"/>
        <v>Medium</v>
      </c>
      <c r="P231" t="str">
        <f>_xlfn.XLOOKUP(C231,customers!$A$1:$A$1001,customers!$I$1:$I$1001,0)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IF(_xlfn.XLOOKUP(C232,customers!$A$1:$A$1001,customers!$C$1:$C$1001,)=0,"",_xlfn.XLOOKUP(C232,customers!$A$1:$A$1001,customers!$C$1:$C$1001,))</f>
        <v>pcutchie6e@globo.com</v>
      </c>
      <c r="H232" s="2" t="str" cm="1">
        <f t="array" ref="H232">_xlfn.XLOOKUP(C232,customers!$A$1:$A$1001,customers!$G$1:$G$1001,customers!A231:H1204)</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7">
        <f t="shared" si="9"/>
        <v>51.749999999999993</v>
      </c>
      <c r="N232" t="str">
        <f t="shared" si="10"/>
        <v>Arabic</v>
      </c>
      <c r="O232" t="str">
        <f t="shared" si="11"/>
        <v>Medium</v>
      </c>
      <c r="P232" t="str">
        <f>_xlfn.XLOOKUP(C232,customers!$A$1:$A$1001,customers!$I$1:$I$1001,0)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IF(_xlfn.XLOOKUP(C233,customers!$A$1:$A$1001,customers!$C$1:$C$1001,)=0,"",_xlfn.XLOOKUP(C233,customers!$A$1:$A$1001,customers!$C$1:$C$1001,))</f>
        <v/>
      </c>
      <c r="H233" s="2" t="str" cm="1">
        <f t="array" ref="H233">_xlfn.XLOOKUP(C233,customers!$A$1:$A$1001,customers!$G$1:$G$1001,customers!A232:H1205)</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7">
        <f t="shared" si="9"/>
        <v>8.73</v>
      </c>
      <c r="N233" t="str">
        <f t="shared" si="10"/>
        <v>Librica</v>
      </c>
      <c r="O233" t="str">
        <f t="shared" si="11"/>
        <v>Medium</v>
      </c>
      <c r="P233" t="str">
        <f>_xlfn.XLOOKUP(C233,customers!$A$1:$A$1001,customers!$I$1:$I$1001,0)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IF(_xlfn.XLOOKUP(C234,customers!$A$1:$A$1001,customers!$C$1:$C$1001,)=0,"",_xlfn.XLOOKUP(C234,customers!$A$1:$A$1001,customers!$C$1:$C$1001,))</f>
        <v>cgheraldi6g@opera.com</v>
      </c>
      <c r="H234" s="2" t="str" cm="1">
        <f t="array" ref="H234">_xlfn.XLOOKUP(C234,customers!$A$1:$A$1001,customers!$G$1:$G$1001,customers!A233:H1206)</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7">
        <f t="shared" si="9"/>
        <v>23.774999999999999</v>
      </c>
      <c r="N234" t="str">
        <f t="shared" si="10"/>
        <v>Librica</v>
      </c>
      <c r="O234" t="str">
        <f t="shared" si="11"/>
        <v>Large</v>
      </c>
      <c r="P234" t="str">
        <f>_xlfn.XLOOKUP(C234,customers!$A$1:$A$1001,customers!$I$1:$I$1001,0)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IF(_xlfn.XLOOKUP(C235,customers!$A$1:$A$1001,customers!$C$1:$C$1001,)=0,"",_xlfn.XLOOKUP(C235,customers!$A$1:$A$1001,customers!$C$1:$C$1001,))</f>
        <v>bkenwell6h@over-blog.com</v>
      </c>
      <c r="H235" s="2" t="str" cm="1">
        <f t="array" ref="H235">_xlfn.XLOOKUP(C235,customers!$A$1:$A$1001,customers!$G$1:$G$1001,customers!A234:H1207)</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7">
        <f t="shared" si="9"/>
        <v>20.625</v>
      </c>
      <c r="N235" t="str">
        <f t="shared" si="10"/>
        <v>Excelsa</v>
      </c>
      <c r="O235" t="str">
        <f t="shared" si="11"/>
        <v>Medium</v>
      </c>
      <c r="P235" t="str">
        <f>_xlfn.XLOOKUP(C235,customers!$A$1:$A$1001,customers!$I$1:$I$1001,0)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IF(_xlfn.XLOOKUP(C236,customers!$A$1:$A$1001,customers!$C$1:$C$1001,)=0,"",_xlfn.XLOOKUP(C236,customers!$A$1:$A$1001,customers!$C$1:$C$1001,))</f>
        <v>tsutty6i@google.es</v>
      </c>
      <c r="H236" s="2" t="str" cm="1">
        <f t="array" ref="H236">_xlfn.XLOOKUP(C236,customers!$A$1:$A$1001,customers!$G$1:$G$1001,customers!A235:H1208)</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7">
        <f t="shared" si="9"/>
        <v>36.454999999999998</v>
      </c>
      <c r="N236" t="str">
        <f t="shared" si="10"/>
        <v>Librica</v>
      </c>
      <c r="O236" t="str">
        <f t="shared" si="11"/>
        <v>Large</v>
      </c>
      <c r="P236" t="str">
        <f>_xlfn.XLOOKUP(C236,customers!$A$1:$A$1001,customers!$I$1:$I$1001,0)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IF(_xlfn.XLOOKUP(C237,customers!$A$1:$A$1001,customers!$C$1:$C$1001,)=0,"",_xlfn.XLOOKUP(C237,customers!$A$1:$A$1001,customers!$C$1:$C$1001,))</f>
        <v/>
      </c>
      <c r="H237" s="2" t="str" cm="1">
        <f t="array" ref="H237">_xlfn.XLOOKUP(C237,customers!$A$1:$A$1001,customers!$G$1:$G$1001,customers!A236:H1209)</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7">
        <f t="shared" si="9"/>
        <v>182.27499999999998</v>
      </c>
      <c r="N237" t="str">
        <f t="shared" si="10"/>
        <v>Librica</v>
      </c>
      <c r="O237" t="str">
        <f t="shared" si="11"/>
        <v>Large</v>
      </c>
      <c r="P237" t="str">
        <f>_xlfn.XLOOKUP(C237,customers!$A$1:$A$1001,customers!$I$1:$I$1001,0)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IF(_xlfn.XLOOKUP(C238,customers!$A$1:$A$1001,customers!$C$1:$C$1001,)=0,"",_xlfn.XLOOKUP(C238,customers!$A$1:$A$1001,customers!$C$1:$C$1001,))</f>
        <v>charce6k@cafepress.com</v>
      </c>
      <c r="H238" s="2" t="str" cm="1">
        <f t="array" ref="H238">_xlfn.XLOOKUP(C238,customers!$A$1:$A$1001,customers!$G$1:$G$1001,customers!A237:H1210)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7">
        <f t="shared" si="9"/>
        <v>89.35499999999999</v>
      </c>
      <c r="N238" t="str">
        <f t="shared" si="10"/>
        <v>Librica</v>
      </c>
      <c r="O238" t="str">
        <f t="shared" si="11"/>
        <v>Dark</v>
      </c>
      <c r="P238" t="str">
        <f>_xlfn.XLOOKUP(C238,customers!$A$1:$A$1001,customers!$I$1:$I$1001,0)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IF(_xlfn.XLOOKUP(C239,customers!$A$1:$A$1001,customers!$C$1:$C$1001,)=0,"",_xlfn.XLOOKUP(C239,customers!$A$1:$A$1001,customers!$C$1:$C$1001,))</f>
        <v/>
      </c>
      <c r="H239" s="2" t="str" cm="1">
        <f t="array" ref="H239">_xlfn.XLOOKUP(C239,customers!$A$1:$A$1001,customers!$G$1:$G$1001,customers!A238:H1211)</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7">
        <f t="shared" si="9"/>
        <v>3.5849999999999995</v>
      </c>
      <c r="N239" t="str">
        <f t="shared" si="10"/>
        <v>Robusta</v>
      </c>
      <c r="O239" t="str">
        <f t="shared" si="11"/>
        <v>Large</v>
      </c>
      <c r="P239" t="str">
        <f>_xlfn.XLOOKUP(C239,customers!$A$1:$A$1001,customers!$I$1:$I$1001,0)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IF(_xlfn.XLOOKUP(C240,customers!$A$1:$A$1001,customers!$C$1:$C$1001,)=0,"",_xlfn.XLOOKUP(C240,customers!$A$1:$A$1001,customers!$C$1:$C$1001,))</f>
        <v>fdrysdale6m@symantec.com</v>
      </c>
      <c r="H240" s="2" t="str" cm="1">
        <f t="array" ref="H240">_xlfn.XLOOKUP(C240,customers!$A$1:$A$1001,customers!$G$1:$G$1001,customers!A239:H1212)</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7">
        <f t="shared" si="9"/>
        <v>45.769999999999996</v>
      </c>
      <c r="N240" t="str">
        <f t="shared" si="10"/>
        <v>Robusta</v>
      </c>
      <c r="O240" t="str">
        <f t="shared" si="11"/>
        <v>Medium</v>
      </c>
      <c r="P240" t="str">
        <f>_xlfn.XLOOKUP(C240,customers!$A$1:$A$1001,customers!$I$1:$I$1001,0)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IF(_xlfn.XLOOKUP(C241,customers!$A$1:$A$1001,customers!$C$1:$C$1001,)=0,"",_xlfn.XLOOKUP(C241,customers!$A$1:$A$1001,customers!$C$1:$C$1001,))</f>
        <v>dmagowan6n@fc2.com</v>
      </c>
      <c r="H241" s="2" t="str" cm="1">
        <f t="array" ref="H241">_xlfn.XLOOKUP(C241,customers!$A$1:$A$1001,customers!$G$1:$G$1001,customers!A240:H1213)</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7">
        <f t="shared" si="9"/>
        <v>59.4</v>
      </c>
      <c r="N241" t="str">
        <f t="shared" si="10"/>
        <v>Excelsa</v>
      </c>
      <c r="O241" t="str">
        <f t="shared" si="11"/>
        <v>Large</v>
      </c>
      <c r="P241" t="str">
        <f>_xlfn.XLOOKUP(C241,customers!$A$1:$A$1001,customers!$I$1:$I$1001,0)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IF(_xlfn.XLOOKUP(C242,customers!$A$1:$A$1001,customers!$C$1:$C$1001,)=0,"",_xlfn.XLOOKUP(C242,customers!$A$1:$A$1001,customers!$C$1:$C$1001,))</f>
        <v/>
      </c>
      <c r="H242" s="2" t="str" cm="1">
        <f t="array" ref="H242">_xlfn.XLOOKUP(C242,customers!$A$1:$A$1001,customers!$G$1:$G$1001,customers!A241:H1214)</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7">
        <f t="shared" si="9"/>
        <v>155.24999999999997</v>
      </c>
      <c r="N242" t="str">
        <f t="shared" si="10"/>
        <v>Arabic</v>
      </c>
      <c r="O242" t="str">
        <f t="shared" si="11"/>
        <v>Medium</v>
      </c>
      <c r="P242" t="str">
        <f>_xlfn.XLOOKUP(C242,customers!$A$1:$A$1001,customers!$I$1:$I$1001,0)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IF(_xlfn.XLOOKUP(C243,customers!$A$1:$A$1001,customers!$C$1:$C$1001,)=0,"",_xlfn.XLOOKUP(C243,customers!$A$1:$A$1001,customers!$C$1:$C$1001,))</f>
        <v/>
      </c>
      <c r="H243" s="2" t="str" cm="1">
        <f t="array" ref="H243">_xlfn.XLOOKUP(C243,customers!$A$1:$A$1001,customers!$G$1:$G$1001,customers!A242:H1215)</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7">
        <f t="shared" si="9"/>
        <v>45.769999999999996</v>
      </c>
      <c r="N243" t="str">
        <f t="shared" si="10"/>
        <v>Robusta</v>
      </c>
      <c r="O243" t="str">
        <f t="shared" si="11"/>
        <v>Medium</v>
      </c>
      <c r="P243" t="str">
        <f>_xlfn.XLOOKUP(C243,customers!$A$1:$A$1001,customers!$I$1:$I$1001,0)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IF(_xlfn.XLOOKUP(C244,customers!$A$1:$A$1001,customers!$C$1:$C$1001,)=0,"",_xlfn.XLOOKUP(C244,customers!$A$1:$A$1001,customers!$C$1:$C$1001,))</f>
        <v>srushbrooke6q@youku.com</v>
      </c>
      <c r="H244" s="2" t="str" cm="1">
        <f t="array" ref="H244">_xlfn.XLOOKUP(C244,customers!$A$1:$A$1001,customers!$G$1:$G$1001,customers!A243:H1216)</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7">
        <f t="shared" si="9"/>
        <v>36.450000000000003</v>
      </c>
      <c r="N244" t="str">
        <f t="shared" si="10"/>
        <v>Excelsa</v>
      </c>
      <c r="O244" t="str">
        <f t="shared" si="11"/>
        <v>Dark</v>
      </c>
      <c r="P244" t="str">
        <f>_xlfn.XLOOKUP(C244,customers!$A$1:$A$1001,customers!$I$1:$I$1001,0)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IF(_xlfn.XLOOKUP(C245,customers!$A$1:$A$1001,customers!$C$1:$C$1001,)=0,"",_xlfn.XLOOKUP(C245,customers!$A$1:$A$1001,customers!$C$1:$C$1001,))</f>
        <v>tdrynan6r@deviantart.com</v>
      </c>
      <c r="H245" s="2" t="str" cm="1">
        <f t="array" ref="H245">_xlfn.XLOOKUP(C245,customers!$A$1:$A$1001,customers!$G$1:$G$1001,customers!A244:H1217)</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7">
        <f t="shared" si="9"/>
        <v>29.16</v>
      </c>
      <c r="N245" t="str">
        <f t="shared" si="10"/>
        <v>Excelsa</v>
      </c>
      <c r="O245" t="str">
        <f t="shared" si="11"/>
        <v>Dark</v>
      </c>
      <c r="P245" t="str">
        <f>_xlfn.XLOOKUP(C245,customers!$A$1:$A$1001,customers!$I$1:$I$1001,0)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IF(_xlfn.XLOOKUP(C246,customers!$A$1:$A$1001,customers!$C$1:$C$1001,)=0,"",_xlfn.XLOOKUP(C246,customers!$A$1:$A$1001,customers!$C$1:$C$1001,))</f>
        <v>eyurkov6s@hud.gov</v>
      </c>
      <c r="H246" s="2" t="str" cm="1">
        <f t="array" ref="H246">_xlfn.XLOOKUP(C246,customers!$A$1:$A$1001,customers!$G$1:$G$1001,customers!A245:H1218)</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7">
        <f t="shared" si="9"/>
        <v>133.85999999999999</v>
      </c>
      <c r="N246" t="str">
        <f t="shared" si="10"/>
        <v>Librica</v>
      </c>
      <c r="O246" t="str">
        <f t="shared" si="11"/>
        <v>Medium</v>
      </c>
      <c r="P246" t="str">
        <f>_xlfn.XLOOKUP(C246,customers!$A$1:$A$1001,customers!$I$1:$I$1001,0)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IF(_xlfn.XLOOKUP(C247,customers!$A$1:$A$1001,customers!$C$1:$C$1001,)=0,"",_xlfn.XLOOKUP(C247,customers!$A$1:$A$1001,customers!$C$1:$C$1001,))</f>
        <v>lmallan6t@state.gov</v>
      </c>
      <c r="H247" s="2" t="str" cm="1">
        <f t="array" ref="H247">_xlfn.XLOOKUP(C247,customers!$A$1:$A$1001,customers!$G$1:$G$1001,customers!A246:H1219)</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7">
        <f t="shared" si="9"/>
        <v>23.774999999999999</v>
      </c>
      <c r="N247" t="str">
        <f t="shared" si="10"/>
        <v>Librica</v>
      </c>
      <c r="O247" t="str">
        <f t="shared" si="11"/>
        <v>Large</v>
      </c>
      <c r="P247" t="str">
        <f>_xlfn.XLOOKUP(C247,customers!$A$1:$A$1001,customers!$I$1:$I$1001,0)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IF(_xlfn.XLOOKUP(C248,customers!$A$1:$A$1001,customers!$C$1:$C$1001,)=0,"",_xlfn.XLOOKUP(C248,customers!$A$1:$A$1001,customers!$C$1:$C$1001,))</f>
        <v>gbentjens6u@netlog.com</v>
      </c>
      <c r="H248" s="2" t="str" cm="1">
        <f t="array" ref="H248">_xlfn.XLOOKUP(C248,customers!$A$1:$A$1001,customers!$G$1:$G$1001,customers!A247:H1220)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7">
        <f t="shared" si="9"/>
        <v>38.849999999999994</v>
      </c>
      <c r="N248" t="str">
        <f t="shared" si="10"/>
        <v>Librica</v>
      </c>
      <c r="O248" t="str">
        <f t="shared" si="11"/>
        <v>Dark</v>
      </c>
      <c r="P248" t="str">
        <f>_xlfn.XLOOKUP(C248,customers!$A$1:$A$1001,customers!$I$1:$I$1001,0)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IF(_xlfn.XLOOKUP(C249,customers!$A$1:$A$1001,customers!$C$1:$C$1001,)=0,"",_xlfn.XLOOKUP(C249,customers!$A$1:$A$1001,customers!$C$1:$C$1001,))</f>
        <v/>
      </c>
      <c r="H249" s="2" t="str" cm="1">
        <f t="array" ref="H249">_xlfn.XLOOKUP(C249,customers!$A$1:$A$1001,customers!$G$1:$G$1001,customers!A248:H1221)</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7">
        <f t="shared" si="9"/>
        <v>21.509999999999998</v>
      </c>
      <c r="N249" t="str">
        <f t="shared" si="10"/>
        <v>Robusta</v>
      </c>
      <c r="O249" t="str">
        <f t="shared" si="11"/>
        <v>Large</v>
      </c>
      <c r="P249" t="str">
        <f>_xlfn.XLOOKUP(C249,customers!$A$1:$A$1001,customers!$I$1:$I$1001,0)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IF(_xlfn.XLOOKUP(C250,customers!$A$1:$A$1001,customers!$C$1:$C$1001,)=0,"",_xlfn.XLOOKUP(C250,customers!$A$1:$A$1001,customers!$C$1:$C$1001,))</f>
        <v>lentwistle6w@omniture.com</v>
      </c>
      <c r="H250" s="2" t="str" cm="1">
        <f t="array" ref="H250">_xlfn.XLOOKUP(C250,customers!$A$1:$A$1001,customers!$G$1:$G$1001,customers!A249:H1222)</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7">
        <f t="shared" si="9"/>
        <v>9.9499999999999993</v>
      </c>
      <c r="N250" t="str">
        <f t="shared" si="10"/>
        <v>Arabic</v>
      </c>
      <c r="O250" t="str">
        <f t="shared" si="11"/>
        <v>Dark</v>
      </c>
      <c r="P250" t="str">
        <f>_xlfn.XLOOKUP(C250,customers!$A$1:$A$1001,customers!$I$1:$I$1001,0)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IF(_xlfn.XLOOKUP(C251,customers!$A$1:$A$1001,customers!$C$1:$C$1001,)=0,"",_xlfn.XLOOKUP(C251,customers!$A$1:$A$1001,customers!$C$1:$C$1001,))</f>
        <v>zkiffe74@cyberchimps.com</v>
      </c>
      <c r="H251" s="2" t="str" cm="1">
        <f t="array" ref="H251">_xlfn.XLOOKUP(C251,customers!$A$1:$A$1001,customers!$G$1:$G$1001,customers!A250:H1223)</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7">
        <f t="shared" si="9"/>
        <v>15.85</v>
      </c>
      <c r="N251" t="str">
        <f t="shared" si="10"/>
        <v>Librica</v>
      </c>
      <c r="O251" t="str">
        <f t="shared" si="11"/>
        <v>Large</v>
      </c>
      <c r="P251" t="str">
        <f>_xlfn.XLOOKUP(C251,customers!$A$1:$A$1001,customers!$I$1:$I$1001,0)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IF(_xlfn.XLOOKUP(C252,customers!$A$1:$A$1001,customers!$C$1:$C$1001,)=0,"",_xlfn.XLOOKUP(C252,customers!$A$1:$A$1001,customers!$C$1:$C$1001,))</f>
        <v>macott6y@pagesperso-orange.fr</v>
      </c>
      <c r="H252" s="2" t="str" cm="1">
        <f t="array" ref="H252">_xlfn.XLOOKUP(C252,customers!$A$1:$A$1001,customers!$G$1:$G$1001,customers!A251:H1224)</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7">
        <f t="shared" si="9"/>
        <v>2.9849999999999999</v>
      </c>
      <c r="N252" t="str">
        <f t="shared" si="10"/>
        <v>Robusta</v>
      </c>
      <c r="O252" t="str">
        <f t="shared" si="11"/>
        <v>Medium</v>
      </c>
      <c r="P252" t="str">
        <f>_xlfn.XLOOKUP(C252,customers!$A$1:$A$1001,customers!$I$1:$I$1001,0)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IF(_xlfn.XLOOKUP(C253,customers!$A$1:$A$1001,customers!$C$1:$C$1001,)=0,"",_xlfn.XLOOKUP(C253,customers!$A$1:$A$1001,customers!$C$1:$C$1001,))</f>
        <v>cheaviside6z@rediff.com</v>
      </c>
      <c r="H253" s="2" t="str" cm="1">
        <f t="array" ref="H253">_xlfn.XLOOKUP(C253,customers!$A$1:$A$1001,customers!$G$1:$G$1001,customers!A252:H1225)</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7">
        <f t="shared" si="9"/>
        <v>68.75</v>
      </c>
      <c r="N253" t="str">
        <f t="shared" si="10"/>
        <v>Excelsa</v>
      </c>
      <c r="O253" t="str">
        <f t="shared" si="11"/>
        <v>Medium</v>
      </c>
      <c r="P253" t="str">
        <f>_xlfn.XLOOKUP(C253,customers!$A$1:$A$1001,customers!$I$1:$I$1001,0)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IF(_xlfn.XLOOKUP(C254,customers!$A$1:$A$1001,customers!$C$1:$C$1001,)=0,"",_xlfn.XLOOKUP(C254,customers!$A$1:$A$1001,customers!$C$1:$C$1001,))</f>
        <v/>
      </c>
      <c r="H254" s="2" t="str" cm="1">
        <f t="array" ref="H254">_xlfn.XLOOKUP(C254,customers!$A$1:$A$1001,customers!$G$1:$G$1001,customers!A253:H1226)</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7">
        <f t="shared" si="9"/>
        <v>29.849999999999998</v>
      </c>
      <c r="N254" t="str">
        <f t="shared" si="10"/>
        <v>Arabic</v>
      </c>
      <c r="O254" t="str">
        <f t="shared" si="11"/>
        <v>Dark</v>
      </c>
      <c r="P254" t="str">
        <f>_xlfn.XLOOKUP(C254,customers!$A$1:$A$1001,customers!$I$1:$I$1001,0)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IF(_xlfn.XLOOKUP(C255,customers!$A$1:$A$1001,customers!$C$1:$C$1001,)=0,"",_xlfn.XLOOKUP(C255,customers!$A$1:$A$1001,customers!$C$1:$C$1001,))</f>
        <v>lkernan71@wsj.com</v>
      </c>
      <c r="H255" s="2" t="str" cm="1">
        <f t="array" ref="H255">_xlfn.XLOOKUP(C255,customers!$A$1:$A$1001,customers!$G$1:$G$1001,customers!A254:H1227)</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7">
        <f t="shared" si="9"/>
        <v>58.2</v>
      </c>
      <c r="N255" t="str">
        <f t="shared" si="10"/>
        <v>Librica</v>
      </c>
      <c r="O255" t="str">
        <f t="shared" si="11"/>
        <v>Medium</v>
      </c>
      <c r="P255" t="str">
        <f>_xlfn.XLOOKUP(C255,customers!$A$1:$A$1001,customers!$I$1:$I$1001,0)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IF(_xlfn.XLOOKUP(C256,customers!$A$1:$A$1001,customers!$C$1:$C$1001,)=0,"",_xlfn.XLOOKUP(C256,customers!$A$1:$A$1001,customers!$C$1:$C$1001,))</f>
        <v>rmclae72@dailymotion.com</v>
      </c>
      <c r="H256" s="2" t="str" cm="1">
        <f t="array" ref="H256">_xlfn.XLOOKUP(C256,customers!$A$1:$A$1001,customers!$G$1:$G$1001,customers!A255:H1228)</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7">
        <f t="shared" si="9"/>
        <v>28.679999999999996</v>
      </c>
      <c r="N256" t="str">
        <f t="shared" si="10"/>
        <v>Robusta</v>
      </c>
      <c r="O256" t="str">
        <f t="shared" si="11"/>
        <v>Large</v>
      </c>
      <c r="P256" t="str">
        <f>_xlfn.XLOOKUP(C256,customers!$A$1:$A$1001,customers!$I$1:$I$1001,0)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IF(_xlfn.XLOOKUP(C257,customers!$A$1:$A$1001,customers!$C$1:$C$1001,)=0,"",_xlfn.XLOOKUP(C257,customers!$A$1:$A$1001,customers!$C$1:$C$1001,))</f>
        <v>cblowfelde73@ustream.tv</v>
      </c>
      <c r="H257" s="2" t="str" cm="1">
        <f t="array" ref="H257">_xlfn.XLOOKUP(C257,customers!$A$1:$A$1001,customers!$G$1:$G$1001,customers!A256:H1229)</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7">
        <f t="shared" si="9"/>
        <v>21.509999999999998</v>
      </c>
      <c r="N257" t="str">
        <f t="shared" si="10"/>
        <v>Robusta</v>
      </c>
      <c r="O257" t="str">
        <f t="shared" si="11"/>
        <v>Large</v>
      </c>
      <c r="P257" t="str">
        <f>_xlfn.XLOOKUP(C257,customers!$A$1:$A$1001,customers!$I$1:$I$1001,0)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IF(_xlfn.XLOOKUP(C258,customers!$A$1:$A$1001,customers!$C$1:$C$1001,)=0,"",_xlfn.XLOOKUP(C258,customers!$A$1:$A$1001,customers!$C$1:$C$1001,))</f>
        <v>zkiffe74@cyberchimps.com</v>
      </c>
      <c r="H258" s="2" t="str" cm="1">
        <f t="array" ref="H258">_xlfn.XLOOKUP(C258,customers!$A$1:$A$1001,customers!$G$1:$G$1001,customers!A257:H1230)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7">
        <f t="shared" si="9"/>
        <v>17.46</v>
      </c>
      <c r="N258" t="str">
        <f t="shared" si="10"/>
        <v>Librica</v>
      </c>
      <c r="O258" t="str">
        <f t="shared" si="11"/>
        <v>Medium</v>
      </c>
      <c r="P258" t="str">
        <f>_xlfn.XLOOKUP(C258,customers!$A$1:$A$1001,customers!$I$1:$I$1001,0)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IF(_xlfn.XLOOKUP(C259,customers!$A$1:$A$1001,customers!$C$1:$C$1001,)=0,"",_xlfn.XLOOKUP(C259,customers!$A$1:$A$1001,customers!$C$1:$C$1001,))</f>
        <v>docalleran75@ucla.edu</v>
      </c>
      <c r="H259" s="2" t="str" cm="1">
        <f t="array" ref="H259">_xlfn.XLOOKUP(C259,customers!$A$1:$A$1001,customers!$G$1:$G$1001,customers!A258:H1231)</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7">
        <f t="shared" ref="M259:M322" si="12">L259*E259</f>
        <v>27.945</v>
      </c>
      <c r="N259" t="str">
        <f t="shared" ref="N259:N322" si="13">IF(I259="Rob","Robusta",IF(I259="Exc","Excelsa",IF(I259="Ara","Arabic",IF(I259="Lib","Librica"))))</f>
        <v>Excelsa</v>
      </c>
      <c r="O259" t="str">
        <f t="shared" ref="O259:O322" si="14">IF(J259="M","Medium",IF(J259="L","Large",IF(J259="D","Dark")))</f>
        <v>Dark</v>
      </c>
      <c r="P259" t="str">
        <f>_xlfn.XLOOKUP(C259,customers!$A$1:$A$1001,customers!$I$1:$I$1001,0)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IF(_xlfn.XLOOKUP(C260,customers!$A$1:$A$1001,customers!$C$1:$C$1001,)=0,"",_xlfn.XLOOKUP(C260,customers!$A$1:$A$1001,customers!$C$1:$C$1001,))</f>
        <v>ccromwell76@desdev.cn</v>
      </c>
      <c r="H260" s="2" t="str" cm="1">
        <f t="array" ref="H260">_xlfn.XLOOKUP(C260,customers!$A$1:$A$1001,customers!$G$1:$G$1001,customers!A259:H1232)</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7">
        <f t="shared" si="12"/>
        <v>139.72499999999999</v>
      </c>
      <c r="N260" t="str">
        <f t="shared" si="13"/>
        <v>Excelsa</v>
      </c>
      <c r="O260" t="str">
        <f t="shared" si="14"/>
        <v>Dark</v>
      </c>
      <c r="P260" t="str">
        <f>_xlfn.XLOOKUP(C260,customers!$A$1:$A$1001,customers!$I$1:$I$1001,0)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IF(_xlfn.XLOOKUP(C261,customers!$A$1:$A$1001,customers!$C$1:$C$1001,)=0,"",_xlfn.XLOOKUP(C261,customers!$A$1:$A$1001,customers!$C$1:$C$1001,))</f>
        <v>ihay77@lulu.com</v>
      </c>
      <c r="H261" s="2" t="str" cm="1">
        <f t="array" ref="H261">_xlfn.XLOOKUP(C261,customers!$A$1:$A$1001,customers!$G$1:$G$1001,customers!A260:H1233)</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7">
        <f t="shared" si="12"/>
        <v>5.97</v>
      </c>
      <c r="N261" t="str">
        <f t="shared" si="13"/>
        <v>Robusta</v>
      </c>
      <c r="O261" t="str">
        <f t="shared" si="14"/>
        <v>Medium</v>
      </c>
      <c r="P261" t="str">
        <f>_xlfn.XLOOKUP(C261,customers!$A$1:$A$1001,customers!$I$1:$I$1001,0)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IF(_xlfn.XLOOKUP(C262,customers!$A$1:$A$1001,customers!$C$1:$C$1001,)=0,"",_xlfn.XLOOKUP(C262,customers!$A$1:$A$1001,customers!$C$1:$C$1001,))</f>
        <v>ttaffarello78@sciencedaily.com</v>
      </c>
      <c r="H262" s="2" t="str" cm="1">
        <f t="array" ref="H262">_xlfn.XLOOKUP(C262,customers!$A$1:$A$1001,customers!$G$1:$G$1001,customers!A261:H1234)</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7">
        <f t="shared" si="12"/>
        <v>27.484999999999996</v>
      </c>
      <c r="N262" t="str">
        <f t="shared" si="13"/>
        <v>Robusta</v>
      </c>
      <c r="O262" t="str">
        <f t="shared" si="14"/>
        <v>Large</v>
      </c>
      <c r="P262" t="str">
        <f>_xlfn.XLOOKUP(C262,customers!$A$1:$A$1001,customers!$I$1:$I$1001,0)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IF(_xlfn.XLOOKUP(C263,customers!$A$1:$A$1001,customers!$C$1:$C$1001,)=0,"",_xlfn.XLOOKUP(C263,customers!$A$1:$A$1001,customers!$C$1:$C$1001,))</f>
        <v>mcanty79@jigsy.com</v>
      </c>
      <c r="H263" s="2" t="str" cm="1">
        <f t="array" ref="H263">_xlfn.XLOOKUP(C263,customers!$A$1:$A$1001,customers!$G$1:$G$1001,customers!A262:H1235)</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7">
        <f t="shared" si="12"/>
        <v>59.75</v>
      </c>
      <c r="N263" t="str">
        <f t="shared" si="13"/>
        <v>Robusta</v>
      </c>
      <c r="O263" t="str">
        <f t="shared" si="14"/>
        <v>Large</v>
      </c>
      <c r="P263" t="str">
        <f>_xlfn.XLOOKUP(C263,customers!$A$1:$A$1001,customers!$I$1:$I$1001,0)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IF(_xlfn.XLOOKUP(C264,customers!$A$1:$A$1001,customers!$C$1:$C$1001,)=0,"",_xlfn.XLOOKUP(C264,customers!$A$1:$A$1001,customers!$C$1:$C$1001,))</f>
        <v>jkopke7a@auda.org.au</v>
      </c>
      <c r="H264" s="2" t="str" cm="1">
        <f t="array" ref="H264">_xlfn.XLOOKUP(C264,customers!$A$1:$A$1001,customers!$G$1:$G$1001,customers!A263:H1236)</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7">
        <f t="shared" si="12"/>
        <v>41.25</v>
      </c>
      <c r="N264" t="str">
        <f t="shared" si="13"/>
        <v>Excelsa</v>
      </c>
      <c r="O264" t="str">
        <f t="shared" si="14"/>
        <v>Medium</v>
      </c>
      <c r="P264" t="str">
        <f>_xlfn.XLOOKUP(C264,customers!$A$1:$A$1001,customers!$I$1:$I$1001,0)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IF(_xlfn.XLOOKUP(C265,customers!$A$1:$A$1001,customers!$C$1:$C$1001,)=0,"",_xlfn.XLOOKUP(C265,customers!$A$1:$A$1001,customers!$C$1:$C$1001,))</f>
        <v/>
      </c>
      <c r="H265" s="2" t="str" cm="1">
        <f t="array" ref="H265">_xlfn.XLOOKUP(C265,customers!$A$1:$A$1001,customers!$G$1:$G$1001,customers!A264:H1237)</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7">
        <f t="shared" si="12"/>
        <v>133.85999999999999</v>
      </c>
      <c r="N265" t="str">
        <f t="shared" si="13"/>
        <v>Librica</v>
      </c>
      <c r="O265" t="str">
        <f t="shared" si="14"/>
        <v>Medium</v>
      </c>
      <c r="P265" t="str">
        <f>_xlfn.XLOOKUP(C265,customers!$A$1:$A$1001,customers!$I$1:$I$1001,0)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IF(_xlfn.XLOOKUP(C266,customers!$A$1:$A$1001,customers!$C$1:$C$1001,)=0,"",_xlfn.XLOOKUP(C266,customers!$A$1:$A$1001,customers!$C$1:$C$1001,))</f>
        <v/>
      </c>
      <c r="H266" s="2" t="str" cm="1">
        <f t="array" ref="H266">_xlfn.XLOOKUP(C266,customers!$A$1:$A$1001,customers!$G$1:$G$1001,customers!A265:H1238)</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7">
        <f t="shared" si="12"/>
        <v>59.75</v>
      </c>
      <c r="N266" t="str">
        <f t="shared" si="13"/>
        <v>Robusta</v>
      </c>
      <c r="O266" t="str">
        <f t="shared" si="14"/>
        <v>Large</v>
      </c>
      <c r="P266" t="str">
        <f>_xlfn.XLOOKUP(C266,customers!$A$1:$A$1001,customers!$I$1:$I$1001,0)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IF(_xlfn.XLOOKUP(C267,customers!$A$1:$A$1001,customers!$C$1:$C$1001,)=0,"",_xlfn.XLOOKUP(C267,customers!$A$1:$A$1001,customers!$C$1:$C$1001,))</f>
        <v>vhellmore7d@bbc.co.uk</v>
      </c>
      <c r="H267" s="2" t="str" cm="1">
        <f t="array" ref="H267">_xlfn.XLOOKUP(C267,customers!$A$1:$A$1001,customers!$G$1:$G$1001,customers!A266:H1239)</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7">
        <f t="shared" si="12"/>
        <v>5.97</v>
      </c>
      <c r="N267" t="str">
        <f t="shared" si="13"/>
        <v>Arabic</v>
      </c>
      <c r="O267" t="str">
        <f t="shared" si="14"/>
        <v>Dark</v>
      </c>
      <c r="P267" t="str">
        <f>_xlfn.XLOOKUP(C267,customers!$A$1:$A$1001,customers!$I$1:$I$1001,0)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IF(_xlfn.XLOOKUP(C268,customers!$A$1:$A$1001,customers!$C$1:$C$1001,)=0,"",_xlfn.XLOOKUP(C268,customers!$A$1:$A$1001,customers!$C$1:$C$1001,))</f>
        <v>mseawright7e@nbcnews.com</v>
      </c>
      <c r="H268" s="2" t="str" cm="1">
        <f t="array" ref="H268">_xlfn.XLOOKUP(C268,customers!$A$1:$A$1001,customers!$G$1:$G$1001,customers!A267:H1240)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7">
        <f t="shared" si="12"/>
        <v>24.3</v>
      </c>
      <c r="N268" t="str">
        <f t="shared" si="13"/>
        <v>Excelsa</v>
      </c>
      <c r="O268" t="str">
        <f t="shared" si="14"/>
        <v>Dark</v>
      </c>
      <c r="P268" t="str">
        <f>_xlfn.XLOOKUP(C268,customers!$A$1:$A$1001,customers!$I$1:$I$1001,0)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IF(_xlfn.XLOOKUP(C269,customers!$A$1:$A$1001,customers!$C$1:$C$1001,)=0,"",_xlfn.XLOOKUP(C269,customers!$A$1:$A$1001,customers!$C$1:$C$1001,))</f>
        <v>snortheast7f@mashable.com</v>
      </c>
      <c r="H269" s="2" t="str" cm="1">
        <f t="array" ref="H269">_xlfn.XLOOKUP(C269,customers!$A$1:$A$1001,customers!$G$1:$G$1001,customers!A268:H1241)</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7">
        <f t="shared" si="12"/>
        <v>21.87</v>
      </c>
      <c r="N269" t="str">
        <f t="shared" si="13"/>
        <v>Excelsa</v>
      </c>
      <c r="O269" t="str">
        <f t="shared" si="14"/>
        <v>Dark</v>
      </c>
      <c r="P269" t="str">
        <f>_xlfn.XLOOKUP(C269,customers!$A$1:$A$1001,customers!$I$1:$I$1001,0)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IF(_xlfn.XLOOKUP(C270,customers!$A$1:$A$1001,customers!$C$1:$C$1001,)=0,"",_xlfn.XLOOKUP(C270,customers!$A$1:$A$1001,customers!$C$1:$C$1001,))</f>
        <v>aattwater5u@wikia.com</v>
      </c>
      <c r="H270" s="2" t="str" cm="1">
        <f t="array" ref="H270">_xlfn.XLOOKUP(C270,customers!$A$1:$A$1001,customers!$G$1:$G$1001,customers!A269:H1242)</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7">
        <f t="shared" si="12"/>
        <v>19.899999999999999</v>
      </c>
      <c r="N270" t="str">
        <f t="shared" si="13"/>
        <v>Arabic</v>
      </c>
      <c r="O270" t="str">
        <f t="shared" si="14"/>
        <v>Dark</v>
      </c>
      <c r="P270" t="str">
        <f>_xlfn.XLOOKUP(C270,customers!$A$1:$A$1001,customers!$I$1:$I$1001,0)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IF(_xlfn.XLOOKUP(C271,customers!$A$1:$A$1001,customers!$C$1:$C$1001,)=0,"",_xlfn.XLOOKUP(C271,customers!$A$1:$A$1001,customers!$C$1:$C$1001,))</f>
        <v>mfearon7h@reverbnation.com</v>
      </c>
      <c r="H271" s="2" t="str" cm="1">
        <f t="array" ref="H271">_xlfn.XLOOKUP(C271,customers!$A$1:$A$1001,customers!$G$1:$G$1001,customers!A270:H1243)</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7">
        <f t="shared" si="12"/>
        <v>5.97</v>
      </c>
      <c r="N271" t="str">
        <f t="shared" si="13"/>
        <v>Arabic</v>
      </c>
      <c r="O271" t="str">
        <f t="shared" si="14"/>
        <v>Dark</v>
      </c>
      <c r="P271" t="str">
        <f>_xlfn.XLOOKUP(C271,customers!$A$1:$A$1001,customers!$I$1:$I$1001,0)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IF(_xlfn.XLOOKUP(C272,customers!$A$1:$A$1001,customers!$C$1:$C$1001,)=0,"",_xlfn.XLOOKUP(C272,customers!$A$1:$A$1001,customers!$C$1:$C$1001,))</f>
        <v/>
      </c>
      <c r="H272" s="2" t="str" cm="1">
        <f t="array" ref="H272">_xlfn.XLOOKUP(C272,customers!$A$1:$A$1001,customers!$G$1:$G$1001,customers!A271:H1244)</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7">
        <f t="shared" si="12"/>
        <v>7.29</v>
      </c>
      <c r="N272" t="str">
        <f t="shared" si="13"/>
        <v>Excelsa</v>
      </c>
      <c r="O272" t="str">
        <f t="shared" si="14"/>
        <v>Dark</v>
      </c>
      <c r="P272" t="str">
        <f>_xlfn.XLOOKUP(C272,customers!$A$1:$A$1001,customers!$I$1:$I$1001,0)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IF(_xlfn.XLOOKUP(C273,customers!$A$1:$A$1001,customers!$C$1:$C$1001,)=0,"",_xlfn.XLOOKUP(C273,customers!$A$1:$A$1001,customers!$C$1:$C$1001,))</f>
        <v>jsisneros7j@a8.net</v>
      </c>
      <c r="H273" s="2" t="str" cm="1">
        <f t="array" ref="H273">_xlfn.XLOOKUP(C273,customers!$A$1:$A$1001,customers!$G$1:$G$1001,customers!A272:H1245)</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7">
        <f t="shared" si="12"/>
        <v>11.94</v>
      </c>
      <c r="N273" t="str">
        <f t="shared" si="13"/>
        <v>Arabic</v>
      </c>
      <c r="O273" t="str">
        <f t="shared" si="14"/>
        <v>Dark</v>
      </c>
      <c r="P273" t="str">
        <f>_xlfn.XLOOKUP(C273,customers!$A$1:$A$1001,customers!$I$1:$I$1001,0)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IF(_xlfn.XLOOKUP(C274,customers!$A$1:$A$1001,customers!$C$1:$C$1001,)=0,"",_xlfn.XLOOKUP(C274,customers!$A$1:$A$1001,customers!$C$1:$C$1001,))</f>
        <v>zcarlson7k@bigcartel.com</v>
      </c>
      <c r="H274" s="2" t="str" cm="1">
        <f t="array" ref="H274">_xlfn.XLOOKUP(C274,customers!$A$1:$A$1001,customers!$G$1:$G$1001,customers!A273:H1246)</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7">
        <f t="shared" si="12"/>
        <v>71.699999999999989</v>
      </c>
      <c r="N274" t="str">
        <f t="shared" si="13"/>
        <v>Robusta</v>
      </c>
      <c r="O274" t="str">
        <f t="shared" si="14"/>
        <v>Large</v>
      </c>
      <c r="P274" t="str">
        <f>_xlfn.XLOOKUP(C274,customers!$A$1:$A$1001,customers!$I$1:$I$1001,0)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IF(_xlfn.XLOOKUP(C275,customers!$A$1:$A$1001,customers!$C$1:$C$1001,)=0,"",_xlfn.XLOOKUP(C275,customers!$A$1:$A$1001,customers!$C$1:$C$1001,))</f>
        <v>wmaddox7l@timesonline.co.uk</v>
      </c>
      <c r="H275" s="2" t="str" cm="1">
        <f t="array" ref="H275">_xlfn.XLOOKUP(C275,customers!$A$1:$A$1001,customers!$G$1:$G$1001,customers!A274:H1247)</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7">
        <f t="shared" si="12"/>
        <v>7.77</v>
      </c>
      <c r="N275" t="str">
        <f t="shared" si="13"/>
        <v>Arabic</v>
      </c>
      <c r="O275" t="str">
        <f t="shared" si="14"/>
        <v>Large</v>
      </c>
      <c r="P275" t="str">
        <f>_xlfn.XLOOKUP(C275,customers!$A$1:$A$1001,customers!$I$1:$I$1001,0)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IF(_xlfn.XLOOKUP(C276,customers!$A$1:$A$1001,customers!$C$1:$C$1001,)=0,"",_xlfn.XLOOKUP(C276,customers!$A$1:$A$1001,customers!$C$1:$C$1001,))</f>
        <v>dhedlestone7m@craigslist.org</v>
      </c>
      <c r="H276" s="2" t="str" cm="1">
        <f t="array" ref="H276">_xlfn.XLOOKUP(C276,customers!$A$1:$A$1001,customers!$G$1:$G$1001,customers!A275:H1248)</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7">
        <f t="shared" si="12"/>
        <v>25.874999999999996</v>
      </c>
      <c r="N276" t="str">
        <f t="shared" si="13"/>
        <v>Arabic</v>
      </c>
      <c r="O276" t="str">
        <f t="shared" si="14"/>
        <v>Medium</v>
      </c>
      <c r="P276" t="str">
        <f>_xlfn.XLOOKUP(C276,customers!$A$1:$A$1001,customers!$I$1:$I$1001,0)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IF(_xlfn.XLOOKUP(C277,customers!$A$1:$A$1001,customers!$C$1:$C$1001,)=0,"",_xlfn.XLOOKUP(C277,customers!$A$1:$A$1001,customers!$C$1:$C$1001,))</f>
        <v>tcrowthe7n@europa.eu</v>
      </c>
      <c r="H277" s="2" t="str" cm="1">
        <f t="array" ref="H277">_xlfn.XLOOKUP(C277,customers!$A$1:$A$1001,customers!$G$1:$G$1001,customers!A276:H1249)</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7">
        <f t="shared" si="12"/>
        <v>204.92999999999995</v>
      </c>
      <c r="N277" t="str">
        <f t="shared" si="13"/>
        <v>Excelsa</v>
      </c>
      <c r="O277" t="str">
        <f t="shared" si="14"/>
        <v>Large</v>
      </c>
      <c r="P277" t="str">
        <f>_xlfn.XLOOKUP(C277,customers!$A$1:$A$1001,customers!$I$1:$I$1001,0)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IF(_xlfn.XLOOKUP(C278,customers!$A$1:$A$1001,customers!$C$1:$C$1001,)=0,"",_xlfn.XLOOKUP(C278,customers!$A$1:$A$1001,customers!$C$1:$C$1001,))</f>
        <v>dbury7o@tinyurl.com</v>
      </c>
      <c r="H278" s="2" t="str" cm="1">
        <f t="array" ref="H278">_xlfn.XLOOKUP(C278,customers!$A$1:$A$1001,customers!$G$1:$G$1001,customers!A277:H1250)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7">
        <f t="shared" si="12"/>
        <v>109.93999999999998</v>
      </c>
      <c r="N278" t="str">
        <f t="shared" si="13"/>
        <v>Robusta</v>
      </c>
      <c r="O278" t="str">
        <f t="shared" si="14"/>
        <v>Large</v>
      </c>
      <c r="P278" t="str">
        <f>_xlfn.XLOOKUP(C278,customers!$A$1:$A$1001,customers!$I$1:$I$1001,0)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IF(_xlfn.XLOOKUP(C279,customers!$A$1:$A$1001,customers!$C$1:$C$1001,)=0,"",_xlfn.XLOOKUP(C279,customers!$A$1:$A$1001,customers!$C$1:$C$1001,))</f>
        <v>gbroadbear7p@omniture.com</v>
      </c>
      <c r="H279" s="2" t="str" cm="1">
        <f t="array" ref="H279">_xlfn.XLOOKUP(C279,customers!$A$1:$A$1001,customers!$G$1:$G$1001,customers!A278:H1251)</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7">
        <f t="shared" si="12"/>
        <v>89.1</v>
      </c>
      <c r="N279" t="str">
        <f t="shared" si="13"/>
        <v>Excelsa</v>
      </c>
      <c r="O279" t="str">
        <f t="shared" si="14"/>
        <v>Large</v>
      </c>
      <c r="P279" t="str">
        <f>_xlfn.XLOOKUP(C279,customers!$A$1:$A$1001,customers!$I$1:$I$1001,0)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IF(_xlfn.XLOOKUP(C280,customers!$A$1:$A$1001,customers!$C$1:$C$1001,)=0,"",_xlfn.XLOOKUP(C280,customers!$A$1:$A$1001,customers!$C$1:$C$1001,))</f>
        <v>epalfrey7q@devhub.com</v>
      </c>
      <c r="H280" s="2" t="str" cm="1">
        <f t="array" ref="H280">_xlfn.XLOOKUP(C280,customers!$A$1:$A$1001,customers!$G$1:$G$1001,customers!A279:H1252)</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7">
        <f t="shared" si="12"/>
        <v>7.77</v>
      </c>
      <c r="N280" t="str">
        <f t="shared" si="13"/>
        <v>Arabic</v>
      </c>
      <c r="O280" t="str">
        <f t="shared" si="14"/>
        <v>Large</v>
      </c>
      <c r="P280" t="str">
        <f>_xlfn.XLOOKUP(C280,customers!$A$1:$A$1001,customers!$I$1:$I$1001,0)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IF(_xlfn.XLOOKUP(C281,customers!$A$1:$A$1001,customers!$C$1:$C$1001,)=0,"",_xlfn.XLOOKUP(C281,customers!$A$1:$A$1001,customers!$C$1:$C$1001,))</f>
        <v>pmetrick7r@rakuten.co.jp</v>
      </c>
      <c r="H281" s="2" t="str" cm="1">
        <f t="array" ref="H281">_xlfn.XLOOKUP(C281,customers!$A$1:$A$1001,customers!$G$1:$G$1001,customers!A280:H1253)</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7">
        <f t="shared" si="12"/>
        <v>33.464999999999996</v>
      </c>
      <c r="N281" t="str">
        <f t="shared" si="13"/>
        <v>Librica</v>
      </c>
      <c r="O281" t="str">
        <f t="shared" si="14"/>
        <v>Medium</v>
      </c>
      <c r="P281" t="str">
        <f>_xlfn.XLOOKUP(C281,customers!$A$1:$A$1001,customers!$I$1:$I$1001,0)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IF(_xlfn.XLOOKUP(C282,customers!$A$1:$A$1001,customers!$C$1:$C$1001,)=0,"",_xlfn.XLOOKUP(C282,customers!$A$1:$A$1001,customers!$C$1:$C$1001,))</f>
        <v/>
      </c>
      <c r="H282" s="2" t="str" cm="1">
        <f t="array" ref="H282">_xlfn.XLOOKUP(C282,customers!$A$1:$A$1001,customers!$G$1:$G$1001,customers!A281:H1254)</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7">
        <f t="shared" si="12"/>
        <v>41.25</v>
      </c>
      <c r="N282" t="str">
        <f t="shared" si="13"/>
        <v>Excelsa</v>
      </c>
      <c r="O282" t="str">
        <f t="shared" si="14"/>
        <v>Medium</v>
      </c>
      <c r="P282" t="str">
        <f>_xlfn.XLOOKUP(C282,customers!$A$1:$A$1001,customers!$I$1:$I$1001,0)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IF(_xlfn.XLOOKUP(C283,customers!$A$1:$A$1001,customers!$C$1:$C$1001,)=0,"",_xlfn.XLOOKUP(C283,customers!$A$1:$A$1001,customers!$C$1:$C$1001,))</f>
        <v>kkarby7t@sbwire.com</v>
      </c>
      <c r="H283" s="2" t="str" cm="1">
        <f t="array" ref="H283">_xlfn.XLOOKUP(C283,customers!$A$1:$A$1001,customers!$G$1:$G$1001,customers!A282:H1255)</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7">
        <f t="shared" si="12"/>
        <v>59.4</v>
      </c>
      <c r="N283" t="str">
        <f t="shared" si="13"/>
        <v>Excelsa</v>
      </c>
      <c r="O283" t="str">
        <f t="shared" si="14"/>
        <v>Large</v>
      </c>
      <c r="P283" t="str">
        <f>_xlfn.XLOOKUP(C283,customers!$A$1:$A$1001,customers!$I$1:$I$1001,0)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IF(_xlfn.XLOOKUP(C284,customers!$A$1:$A$1001,customers!$C$1:$C$1001,)=0,"",_xlfn.XLOOKUP(C284,customers!$A$1:$A$1001,customers!$C$1:$C$1001,))</f>
        <v>fcrumpe7u@ftc.gov</v>
      </c>
      <c r="H284" s="2" t="str" cm="1">
        <f t="array" ref="H284">_xlfn.XLOOKUP(C284,customers!$A$1:$A$1001,customers!$G$1:$G$1001,customers!A283:H1256)</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7">
        <f t="shared" si="12"/>
        <v>7.77</v>
      </c>
      <c r="N284" t="str">
        <f t="shared" si="13"/>
        <v>Arabic</v>
      </c>
      <c r="O284" t="str">
        <f t="shared" si="14"/>
        <v>Large</v>
      </c>
      <c r="P284" t="str">
        <f>_xlfn.XLOOKUP(C284,customers!$A$1:$A$1001,customers!$I$1:$I$1001,0)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IF(_xlfn.XLOOKUP(C285,customers!$A$1:$A$1001,customers!$C$1:$C$1001,)=0,"",_xlfn.XLOOKUP(C285,customers!$A$1:$A$1001,customers!$C$1:$C$1001,))</f>
        <v>achatto7v@sakura.ne.jp</v>
      </c>
      <c r="H285" s="2" t="str" cm="1">
        <f t="array" ref="H285">_xlfn.XLOOKUP(C285,customers!$A$1:$A$1001,customers!$G$1:$G$1001,customers!A284:H1257)</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7">
        <f t="shared" si="12"/>
        <v>5.3699999999999992</v>
      </c>
      <c r="N285" t="str">
        <f t="shared" si="13"/>
        <v>Robusta</v>
      </c>
      <c r="O285" t="str">
        <f t="shared" si="14"/>
        <v>Dark</v>
      </c>
      <c r="P285" t="str">
        <f>_xlfn.XLOOKUP(C285,customers!$A$1:$A$1001,customers!$I$1:$I$1001,0)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IF(_xlfn.XLOOKUP(C286,customers!$A$1:$A$1001,customers!$C$1:$C$1001,)=0,"",_xlfn.XLOOKUP(C286,customers!$A$1:$A$1001,customers!$C$1:$C$1001,))</f>
        <v/>
      </c>
      <c r="H286" s="2" t="str" cm="1">
        <f t="array" ref="H286">_xlfn.XLOOKUP(C286,customers!$A$1:$A$1001,customers!$G$1:$G$1001,customers!A285:H1258)</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7">
        <f t="shared" si="12"/>
        <v>94.874999999999986</v>
      </c>
      <c r="N286" t="str">
        <f t="shared" si="13"/>
        <v>Excelsa</v>
      </c>
      <c r="O286" t="str">
        <f t="shared" si="14"/>
        <v>Medium</v>
      </c>
      <c r="P286" t="str">
        <f>_xlfn.XLOOKUP(C286,customers!$A$1:$A$1001,customers!$I$1:$I$1001,0)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IF(_xlfn.XLOOKUP(C287,customers!$A$1:$A$1001,customers!$C$1:$C$1001,)=0,"",_xlfn.XLOOKUP(C287,customers!$A$1:$A$1001,customers!$C$1:$C$1001,))</f>
        <v/>
      </c>
      <c r="H287" s="2" t="str" cm="1">
        <f t="array" ref="H287">_xlfn.XLOOKUP(C287,customers!$A$1:$A$1001,customers!$G$1:$G$1001,customers!A286:H1259)</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7">
        <f t="shared" si="12"/>
        <v>36.454999999999998</v>
      </c>
      <c r="N287" t="str">
        <f t="shared" si="13"/>
        <v>Librica</v>
      </c>
      <c r="O287" t="str">
        <f t="shared" si="14"/>
        <v>Large</v>
      </c>
      <c r="P287" t="str">
        <f>_xlfn.XLOOKUP(C287,customers!$A$1:$A$1001,customers!$I$1:$I$1001,0)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IF(_xlfn.XLOOKUP(C288,customers!$A$1:$A$1001,customers!$C$1:$C$1001,)=0,"",_xlfn.XLOOKUP(C288,customers!$A$1:$A$1001,customers!$C$1:$C$1001,))</f>
        <v>bmergue7y@umn.edu</v>
      </c>
      <c r="H288" s="2" t="str" cm="1">
        <f t="array" ref="H288">_xlfn.XLOOKUP(C288,customers!$A$1:$A$1001,customers!$G$1:$G$1001,customers!A287:H1260)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7">
        <f t="shared" si="12"/>
        <v>13.5</v>
      </c>
      <c r="N288" t="str">
        <f t="shared" si="13"/>
        <v>Arabic</v>
      </c>
      <c r="O288" t="str">
        <f t="shared" si="14"/>
        <v>Medium</v>
      </c>
      <c r="P288" t="str">
        <f>_xlfn.XLOOKUP(C288,customers!$A$1:$A$1001,customers!$I$1:$I$1001,0)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IF(_xlfn.XLOOKUP(C289,customers!$A$1:$A$1001,customers!$C$1:$C$1001,)=0,"",_xlfn.XLOOKUP(C289,customers!$A$1:$A$1001,customers!$C$1:$C$1001,))</f>
        <v>kpatise7z@jigsy.com</v>
      </c>
      <c r="H289" s="2" t="str" cm="1">
        <f t="array" ref="H289">_xlfn.XLOOKUP(C289,customers!$A$1:$A$1001,customers!$G$1:$G$1001,customers!A288:H1261)</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7">
        <f t="shared" si="12"/>
        <v>14.339999999999998</v>
      </c>
      <c r="N289" t="str">
        <f t="shared" si="13"/>
        <v>Robusta</v>
      </c>
      <c r="O289" t="str">
        <f t="shared" si="14"/>
        <v>Large</v>
      </c>
      <c r="P289" t="str">
        <f>_xlfn.XLOOKUP(C289,customers!$A$1:$A$1001,customers!$I$1:$I$1001,0)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IF(_xlfn.XLOOKUP(C290,customers!$A$1:$A$1001,customers!$C$1:$C$1001,)=0,"",_xlfn.XLOOKUP(C290,customers!$A$1:$A$1001,customers!$C$1:$C$1001,))</f>
        <v/>
      </c>
      <c r="H290" s="2" t="str" cm="1">
        <f t="array" ref="H290">_xlfn.XLOOKUP(C290,customers!$A$1:$A$1001,customers!$G$1:$G$1001,customers!A289:H1262)</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7">
        <f t="shared" si="12"/>
        <v>8.25</v>
      </c>
      <c r="N290" t="str">
        <f t="shared" si="13"/>
        <v>Excelsa</v>
      </c>
      <c r="O290" t="str">
        <f t="shared" si="14"/>
        <v>Medium</v>
      </c>
      <c r="P290" t="str">
        <f>_xlfn.XLOOKUP(C290,customers!$A$1:$A$1001,customers!$I$1:$I$1001,0)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IF(_xlfn.XLOOKUP(C291,customers!$A$1:$A$1001,customers!$C$1:$C$1001,)=0,"",_xlfn.XLOOKUP(C291,customers!$A$1:$A$1001,customers!$C$1:$C$1001,))</f>
        <v/>
      </c>
      <c r="H291" s="2" t="str" cm="1">
        <f t="array" ref="H291">_xlfn.XLOOKUP(C291,customers!$A$1:$A$1001,customers!$G$1:$G$1001,customers!A290:H1263)</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7">
        <f t="shared" si="12"/>
        <v>13.424999999999997</v>
      </c>
      <c r="N291" t="str">
        <f t="shared" si="13"/>
        <v>Robusta</v>
      </c>
      <c r="O291" t="str">
        <f t="shared" si="14"/>
        <v>Dark</v>
      </c>
      <c r="P291" t="str">
        <f>_xlfn.XLOOKUP(C291,customers!$A$1:$A$1001,customers!$I$1:$I$1001,0)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IF(_xlfn.XLOOKUP(C292,customers!$A$1:$A$1001,customers!$C$1:$C$1001,)=0,"",_xlfn.XLOOKUP(C292,customers!$A$1:$A$1001,customers!$C$1:$C$1001,))</f>
        <v>dduke82@vkontakte.ru</v>
      </c>
      <c r="H292" s="2" t="str" cm="1">
        <f t="array" ref="H292">_xlfn.XLOOKUP(C292,customers!$A$1:$A$1001,customers!$G$1:$G$1001,customers!A291:H1264)</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7">
        <f t="shared" si="12"/>
        <v>49.75</v>
      </c>
      <c r="N292" t="str">
        <f t="shared" si="13"/>
        <v>Arabic</v>
      </c>
      <c r="O292" t="str">
        <f t="shared" si="14"/>
        <v>Dark</v>
      </c>
      <c r="P292" t="str">
        <f>_xlfn.XLOOKUP(C292,customers!$A$1:$A$1001,customers!$I$1:$I$1001,0)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IF(_xlfn.XLOOKUP(C293,customers!$A$1:$A$1001,customers!$C$1:$C$1001,)=0,"",_xlfn.XLOOKUP(C293,customers!$A$1:$A$1001,customers!$C$1:$C$1001,))</f>
        <v/>
      </c>
      <c r="H293" s="2" t="str" cm="1">
        <f t="array" ref="H293">_xlfn.XLOOKUP(C293,customers!$A$1:$A$1001,customers!$G$1:$G$1001,customers!A292:H1265)</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7">
        <f t="shared" si="12"/>
        <v>16.5</v>
      </c>
      <c r="N293" t="str">
        <f t="shared" si="13"/>
        <v>Excelsa</v>
      </c>
      <c r="O293" t="str">
        <f t="shared" si="14"/>
        <v>Medium</v>
      </c>
      <c r="P293" t="str">
        <f>_xlfn.XLOOKUP(C293,customers!$A$1:$A$1001,customers!$I$1:$I$1001,0)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IF(_xlfn.XLOOKUP(C294,customers!$A$1:$A$1001,customers!$C$1:$C$1001,)=0,"",_xlfn.XLOOKUP(C294,customers!$A$1:$A$1001,customers!$C$1:$C$1001,))</f>
        <v>ihussey84@mapy.cz</v>
      </c>
      <c r="H294" s="2" t="str" cm="1">
        <f t="array" ref="H294">_xlfn.XLOOKUP(C294,customers!$A$1:$A$1001,customers!$G$1:$G$1001,customers!A293:H1266)</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7">
        <f t="shared" si="12"/>
        <v>17.91</v>
      </c>
      <c r="N294" t="str">
        <f t="shared" si="13"/>
        <v>Arabic</v>
      </c>
      <c r="O294" t="str">
        <f t="shared" si="14"/>
        <v>Dark</v>
      </c>
      <c r="P294" t="str">
        <f>_xlfn.XLOOKUP(C294,customers!$A$1:$A$1001,customers!$I$1:$I$1001,0)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IF(_xlfn.XLOOKUP(C295,customers!$A$1:$A$1001,customers!$C$1:$C$1001,)=0,"",_xlfn.XLOOKUP(C295,customers!$A$1:$A$1001,customers!$C$1:$C$1001,))</f>
        <v>cpinkerton85@upenn.edu</v>
      </c>
      <c r="H295" s="2" t="str" cm="1">
        <f t="array" ref="H295">_xlfn.XLOOKUP(C295,customers!$A$1:$A$1001,customers!$G$1:$G$1001,customers!A294:H1267)</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7">
        <f t="shared" si="12"/>
        <v>29.849999999999998</v>
      </c>
      <c r="N295" t="str">
        <f t="shared" si="13"/>
        <v>Arabic</v>
      </c>
      <c r="O295" t="str">
        <f t="shared" si="14"/>
        <v>Dark</v>
      </c>
      <c r="P295" t="str">
        <f>_xlfn.XLOOKUP(C295,customers!$A$1:$A$1001,customers!$I$1:$I$1001,0)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IF(_xlfn.XLOOKUP(C296,customers!$A$1:$A$1001,customers!$C$1:$C$1001,)=0,"",_xlfn.XLOOKUP(C296,customers!$A$1:$A$1001,customers!$C$1:$C$1001,))</f>
        <v/>
      </c>
      <c r="H296" s="2" t="str" cm="1">
        <f t="array" ref="H296">_xlfn.XLOOKUP(C296,customers!$A$1:$A$1001,customers!$G$1:$G$1001,customers!A295:H1268)</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7">
        <f t="shared" si="12"/>
        <v>44.55</v>
      </c>
      <c r="N296" t="str">
        <f t="shared" si="13"/>
        <v>Excelsa</v>
      </c>
      <c r="O296" t="str">
        <f t="shared" si="14"/>
        <v>Large</v>
      </c>
      <c r="P296" t="str">
        <f>_xlfn.XLOOKUP(C296,customers!$A$1:$A$1001,customers!$I$1:$I$1001,0)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IF(_xlfn.XLOOKUP(C297,customers!$A$1:$A$1001,customers!$C$1:$C$1001,)=0,"",_xlfn.XLOOKUP(C297,customers!$A$1:$A$1001,customers!$C$1:$C$1001,))</f>
        <v/>
      </c>
      <c r="H297" s="2" t="str" cm="1">
        <f t="array" ref="H297">_xlfn.XLOOKUP(C297,customers!$A$1:$A$1001,customers!$G$1:$G$1001,customers!A296:H1269)</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7">
        <f t="shared" si="12"/>
        <v>27.5</v>
      </c>
      <c r="N297" t="str">
        <f t="shared" si="13"/>
        <v>Excelsa</v>
      </c>
      <c r="O297" t="str">
        <f t="shared" si="14"/>
        <v>Medium</v>
      </c>
      <c r="P297" t="str">
        <f>_xlfn.XLOOKUP(C297,customers!$A$1:$A$1001,customers!$I$1:$I$1001,0)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IF(_xlfn.XLOOKUP(C298,customers!$A$1:$A$1001,customers!$C$1:$C$1001,)=0,"",_xlfn.XLOOKUP(C298,customers!$A$1:$A$1001,customers!$C$1:$C$1001,))</f>
        <v>dvizor88@furl.net</v>
      </c>
      <c r="H298" s="2" t="str" cm="1">
        <f t="array" ref="H298">_xlfn.XLOOKUP(C298,customers!$A$1:$A$1001,customers!$G$1:$G$1001,customers!A297:H1270)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7">
        <f t="shared" si="12"/>
        <v>35.82</v>
      </c>
      <c r="N298" t="str">
        <f t="shared" si="13"/>
        <v>Robusta</v>
      </c>
      <c r="O298" t="str">
        <f t="shared" si="14"/>
        <v>Medium</v>
      </c>
      <c r="P298" t="str">
        <f>_xlfn.XLOOKUP(C298,customers!$A$1:$A$1001,customers!$I$1:$I$1001,0)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IF(_xlfn.XLOOKUP(C299,customers!$A$1:$A$1001,customers!$C$1:$C$1001,)=0,"",_xlfn.XLOOKUP(C299,customers!$A$1:$A$1001,customers!$C$1:$C$1001,))</f>
        <v>esedgebeer89@oaic.gov.au</v>
      </c>
      <c r="H299" s="2" t="str" cm="1">
        <f t="array" ref="H299">_xlfn.XLOOKUP(C299,customers!$A$1:$A$1001,customers!$G$1:$G$1001,customers!A298:H1271)</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7">
        <f t="shared" si="12"/>
        <v>16.11</v>
      </c>
      <c r="N299" t="str">
        <f t="shared" si="13"/>
        <v>Robusta</v>
      </c>
      <c r="O299" t="str">
        <f t="shared" si="14"/>
        <v>Dark</v>
      </c>
      <c r="P299" t="str">
        <f>_xlfn.XLOOKUP(C299,customers!$A$1:$A$1001,customers!$I$1:$I$1001,0)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IF(_xlfn.XLOOKUP(C300,customers!$A$1:$A$1001,customers!$C$1:$C$1001,)=0,"",_xlfn.XLOOKUP(C300,customers!$A$1:$A$1001,customers!$C$1:$C$1001,))</f>
        <v>klestrange8a@lulu.com</v>
      </c>
      <c r="H300" s="2" t="str" cm="1">
        <f t="array" ref="H300">_xlfn.XLOOKUP(C300,customers!$A$1:$A$1001,customers!$G$1:$G$1001,customers!A299:H1272)</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7">
        <f t="shared" si="12"/>
        <v>26.73</v>
      </c>
      <c r="N300" t="str">
        <f t="shared" si="13"/>
        <v>Excelsa</v>
      </c>
      <c r="O300" t="str">
        <f t="shared" si="14"/>
        <v>Large</v>
      </c>
      <c r="P300" t="str">
        <f>_xlfn.XLOOKUP(C300,customers!$A$1:$A$1001,customers!$I$1:$I$1001,0)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IF(_xlfn.XLOOKUP(C301,customers!$A$1:$A$1001,customers!$C$1:$C$1001,)=0,"",_xlfn.XLOOKUP(C301,customers!$A$1:$A$1001,customers!$C$1:$C$1001,))</f>
        <v>ltanti8b@techcrunch.com</v>
      </c>
      <c r="H301" s="2" t="str" cm="1">
        <f t="array" ref="H301">_xlfn.XLOOKUP(C301,customers!$A$1:$A$1001,customers!$G$1:$G$1001,customers!A300:H1273)</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7">
        <f t="shared" si="12"/>
        <v>204.92999999999995</v>
      </c>
      <c r="N301" t="str">
        <f t="shared" si="13"/>
        <v>Excelsa</v>
      </c>
      <c r="O301" t="str">
        <f t="shared" si="14"/>
        <v>Large</v>
      </c>
      <c r="P301" t="str">
        <f>_xlfn.XLOOKUP(C301,customers!$A$1:$A$1001,customers!$I$1:$I$1001,0)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IF(_xlfn.XLOOKUP(C302,customers!$A$1:$A$1001,customers!$C$1:$C$1001,)=0,"",_xlfn.XLOOKUP(C302,customers!$A$1:$A$1001,customers!$C$1:$C$1001,))</f>
        <v>ade8c@1und1.de</v>
      </c>
      <c r="H302" s="2" t="str" cm="1">
        <f t="array" ref="H302">_xlfn.XLOOKUP(C302,customers!$A$1:$A$1001,customers!$G$1:$G$1001,customers!A301:H1274)</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7">
        <f t="shared" si="12"/>
        <v>38.849999999999994</v>
      </c>
      <c r="N302" t="str">
        <f t="shared" si="13"/>
        <v>Arabic</v>
      </c>
      <c r="O302" t="str">
        <f t="shared" si="14"/>
        <v>Large</v>
      </c>
      <c r="P302" t="str">
        <f>_xlfn.XLOOKUP(C302,customers!$A$1:$A$1001,customers!$I$1:$I$1001,0)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IF(_xlfn.XLOOKUP(C303,customers!$A$1:$A$1001,customers!$C$1:$C$1001,)=0,"",_xlfn.XLOOKUP(C303,customers!$A$1:$A$1001,customers!$C$1:$C$1001,))</f>
        <v>tjedrachowicz8d@acquirethisname.com</v>
      </c>
      <c r="H303" s="2" t="str" cm="1">
        <f t="array" ref="H303">_xlfn.XLOOKUP(C303,customers!$A$1:$A$1001,customers!$G$1:$G$1001,customers!A302:H1275)</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7">
        <f t="shared" si="12"/>
        <v>15.54</v>
      </c>
      <c r="N303" t="str">
        <f t="shared" si="13"/>
        <v>Librica</v>
      </c>
      <c r="O303" t="str">
        <f t="shared" si="14"/>
        <v>Dark</v>
      </c>
      <c r="P303" t="str">
        <f>_xlfn.XLOOKUP(C303,customers!$A$1:$A$1001,customers!$I$1:$I$1001,0)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IF(_xlfn.XLOOKUP(C304,customers!$A$1:$A$1001,customers!$C$1:$C$1001,)=0,"",_xlfn.XLOOKUP(C304,customers!$A$1:$A$1001,customers!$C$1:$C$1001,))</f>
        <v>pstonner8e@moonfruit.com</v>
      </c>
      <c r="H304" s="2" t="str" cm="1">
        <f t="array" ref="H304">_xlfn.XLOOKUP(C304,customers!$A$1:$A$1001,customers!$G$1:$G$1001,customers!A303:H1276)</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7">
        <f t="shared" si="12"/>
        <v>6.75</v>
      </c>
      <c r="N304" t="str">
        <f t="shared" si="13"/>
        <v>Arabic</v>
      </c>
      <c r="O304" t="str">
        <f t="shared" si="14"/>
        <v>Medium</v>
      </c>
      <c r="P304" t="str">
        <f>_xlfn.XLOOKUP(C304,customers!$A$1:$A$1001,customers!$I$1:$I$1001,0)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IF(_xlfn.XLOOKUP(C305,customers!$A$1:$A$1001,customers!$C$1:$C$1001,)=0,"",_xlfn.XLOOKUP(C305,customers!$A$1:$A$1001,customers!$C$1:$C$1001,))</f>
        <v>dtingly8f@goo.ne.jp</v>
      </c>
      <c r="H305" s="2" t="str" cm="1">
        <f t="array" ref="H305">_xlfn.XLOOKUP(C305,customers!$A$1:$A$1001,customers!$G$1:$G$1001,customers!A304:H1277)</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7">
        <f t="shared" si="12"/>
        <v>111.78</v>
      </c>
      <c r="N305" t="str">
        <f t="shared" si="13"/>
        <v>Excelsa</v>
      </c>
      <c r="O305" t="str">
        <f t="shared" si="14"/>
        <v>Dark</v>
      </c>
      <c r="P305" t="str">
        <f>_xlfn.XLOOKUP(C305,customers!$A$1:$A$1001,customers!$I$1:$I$1001,0)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IF(_xlfn.XLOOKUP(C306,customers!$A$1:$A$1001,customers!$C$1:$C$1001,)=0,"",_xlfn.XLOOKUP(C306,customers!$A$1:$A$1001,customers!$C$1:$C$1001,))</f>
        <v>crushe8n@about.me</v>
      </c>
      <c r="H306" s="2" t="str" cm="1">
        <f t="array" ref="H306">_xlfn.XLOOKUP(C306,customers!$A$1:$A$1001,customers!$G$1:$G$1001,customers!A305:H1278)</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7">
        <f t="shared" si="12"/>
        <v>3.8849999999999998</v>
      </c>
      <c r="N306" t="str">
        <f t="shared" si="13"/>
        <v>Arabic</v>
      </c>
      <c r="O306" t="str">
        <f t="shared" si="14"/>
        <v>Large</v>
      </c>
      <c r="P306" t="str">
        <f>_xlfn.XLOOKUP(C306,customers!$A$1:$A$1001,customers!$I$1:$I$1001,0)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IF(_xlfn.XLOOKUP(C307,customers!$A$1:$A$1001,customers!$C$1:$C$1001,)=0,"",_xlfn.XLOOKUP(C307,customers!$A$1:$A$1001,customers!$C$1:$C$1001,))</f>
        <v>bchecci8h@usa.gov</v>
      </c>
      <c r="H307" s="2" t="str" cm="1">
        <f t="array" ref="H307">_xlfn.XLOOKUP(C307,customers!$A$1:$A$1001,customers!$G$1:$G$1001,customers!A306:H1279)</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7">
        <f t="shared" si="12"/>
        <v>21.825000000000003</v>
      </c>
      <c r="N307" t="str">
        <f t="shared" si="13"/>
        <v>Librica</v>
      </c>
      <c r="O307" t="str">
        <f t="shared" si="14"/>
        <v>Medium</v>
      </c>
      <c r="P307" t="str">
        <f>_xlfn.XLOOKUP(C307,customers!$A$1:$A$1001,customers!$I$1:$I$1001,0)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IF(_xlfn.XLOOKUP(C308,customers!$A$1:$A$1001,customers!$C$1:$C$1001,)=0,"",_xlfn.XLOOKUP(C308,customers!$A$1:$A$1001,customers!$C$1:$C$1001,))</f>
        <v>jbagot8i@mac.com</v>
      </c>
      <c r="H308" s="2" t="str" cm="1">
        <f t="array" ref="H308">_xlfn.XLOOKUP(C308,customers!$A$1:$A$1001,customers!$G$1:$G$1001,customers!A307:H1280)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7">
        <f t="shared" si="12"/>
        <v>14.924999999999999</v>
      </c>
      <c r="N308" t="str">
        <f t="shared" si="13"/>
        <v>Robusta</v>
      </c>
      <c r="O308" t="str">
        <f t="shared" si="14"/>
        <v>Medium</v>
      </c>
      <c r="P308" t="str">
        <f>_xlfn.XLOOKUP(C308,customers!$A$1:$A$1001,customers!$I$1:$I$1001,0)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IF(_xlfn.XLOOKUP(C309,customers!$A$1:$A$1001,customers!$C$1:$C$1001,)=0,"",_xlfn.XLOOKUP(C309,customers!$A$1:$A$1001,customers!$C$1:$C$1001,))</f>
        <v>ebeeble8j@soundcloud.com</v>
      </c>
      <c r="H309" s="2" t="str" cm="1">
        <f t="array" ref="H309">_xlfn.XLOOKUP(C309,customers!$A$1:$A$1001,customers!$G$1:$G$1001,customers!A308:H1281)</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7">
        <f t="shared" si="12"/>
        <v>33.75</v>
      </c>
      <c r="N309" t="str">
        <f t="shared" si="13"/>
        <v>Arabic</v>
      </c>
      <c r="O309" t="str">
        <f t="shared" si="14"/>
        <v>Medium</v>
      </c>
      <c r="P309" t="str">
        <f>_xlfn.XLOOKUP(C309,customers!$A$1:$A$1001,customers!$I$1:$I$1001,0)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IF(_xlfn.XLOOKUP(C310,customers!$A$1:$A$1001,customers!$C$1:$C$1001,)=0,"",_xlfn.XLOOKUP(C310,customers!$A$1:$A$1001,customers!$C$1:$C$1001,))</f>
        <v>cfluin8k@flickr.com</v>
      </c>
      <c r="H310" s="2" t="str" cm="1">
        <f t="array" ref="H310">_xlfn.XLOOKUP(C310,customers!$A$1:$A$1001,customers!$G$1:$G$1001,customers!A309:H1282)</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7">
        <f t="shared" si="12"/>
        <v>33.75</v>
      </c>
      <c r="N310" t="str">
        <f t="shared" si="13"/>
        <v>Arabic</v>
      </c>
      <c r="O310" t="str">
        <f t="shared" si="14"/>
        <v>Medium</v>
      </c>
      <c r="P310" t="str">
        <f>_xlfn.XLOOKUP(C310,customers!$A$1:$A$1001,customers!$I$1:$I$1001,0)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IF(_xlfn.XLOOKUP(C311,customers!$A$1:$A$1001,customers!$C$1:$C$1001,)=0,"",_xlfn.XLOOKUP(C311,customers!$A$1:$A$1001,customers!$C$1:$C$1001,))</f>
        <v>ebletsor8l@vinaora.com</v>
      </c>
      <c r="H311" s="2" t="str" cm="1">
        <f t="array" ref="H311">_xlfn.XLOOKUP(C311,customers!$A$1:$A$1001,customers!$G$1:$G$1001,customers!A310:H1283)</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7">
        <f t="shared" si="12"/>
        <v>26.19</v>
      </c>
      <c r="N311" t="str">
        <f t="shared" si="13"/>
        <v>Librica</v>
      </c>
      <c r="O311" t="str">
        <f t="shared" si="14"/>
        <v>Medium</v>
      </c>
      <c r="P311" t="str">
        <f>_xlfn.XLOOKUP(C311,customers!$A$1:$A$1001,customers!$I$1:$I$1001,0)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IF(_xlfn.XLOOKUP(C312,customers!$A$1:$A$1001,customers!$C$1:$C$1001,)=0,"",_xlfn.XLOOKUP(C312,customers!$A$1:$A$1001,customers!$C$1:$C$1001,))</f>
        <v>pbrydell8m@bloglovin.com</v>
      </c>
      <c r="H312" s="2" t="str" cm="1">
        <f t="array" ref="H312">_xlfn.XLOOKUP(C312,customers!$A$1:$A$1001,customers!$G$1:$G$1001,customers!A311:H1284)</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7">
        <f t="shared" si="12"/>
        <v>14.85</v>
      </c>
      <c r="N312" t="str">
        <f t="shared" si="13"/>
        <v>Excelsa</v>
      </c>
      <c r="O312" t="str">
        <f t="shared" si="14"/>
        <v>Large</v>
      </c>
      <c r="P312" t="str">
        <f>_xlfn.XLOOKUP(C312,customers!$A$1:$A$1001,customers!$I$1:$I$1001,0)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IF(_xlfn.XLOOKUP(C313,customers!$A$1:$A$1001,customers!$C$1:$C$1001,)=0,"",_xlfn.XLOOKUP(C313,customers!$A$1:$A$1001,customers!$C$1:$C$1001,))</f>
        <v>crushe8n@about.me</v>
      </c>
      <c r="H313" s="2" t="str" cm="1">
        <f t="array" ref="H313">_xlfn.XLOOKUP(C313,customers!$A$1:$A$1001,customers!$G$1:$G$1001,customers!A312:H1285)</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7">
        <f t="shared" si="12"/>
        <v>189.74999999999997</v>
      </c>
      <c r="N313" t="str">
        <f t="shared" si="13"/>
        <v>Excelsa</v>
      </c>
      <c r="O313" t="str">
        <f t="shared" si="14"/>
        <v>Medium</v>
      </c>
      <c r="P313" t="str">
        <f>_xlfn.XLOOKUP(C313,customers!$A$1:$A$1001,customers!$I$1:$I$1001,0)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IF(_xlfn.XLOOKUP(C314,customers!$A$1:$A$1001,customers!$C$1:$C$1001,)=0,"",_xlfn.XLOOKUP(C314,customers!$A$1:$A$1001,customers!$C$1:$C$1001,))</f>
        <v>nleethem8o@mac.com</v>
      </c>
      <c r="H314" s="2" t="str" cm="1">
        <f t="array" ref="H314">_xlfn.XLOOKUP(C314,customers!$A$1:$A$1001,customers!$G$1:$G$1001,customers!A313:H1286)</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7">
        <f t="shared" si="12"/>
        <v>5.97</v>
      </c>
      <c r="N314" t="str">
        <f t="shared" si="13"/>
        <v>Robusta</v>
      </c>
      <c r="O314" t="str">
        <f t="shared" si="14"/>
        <v>Medium</v>
      </c>
      <c r="P314" t="str">
        <f>_xlfn.XLOOKUP(C314,customers!$A$1:$A$1001,customers!$I$1:$I$1001,0)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IF(_xlfn.XLOOKUP(C315,customers!$A$1:$A$1001,customers!$C$1:$C$1001,)=0,"",_xlfn.XLOOKUP(C315,customers!$A$1:$A$1001,customers!$C$1:$C$1001,))</f>
        <v>anesfield8p@people.com.cn</v>
      </c>
      <c r="H315" s="2" t="str" cm="1">
        <f t="array" ref="H315">_xlfn.XLOOKUP(C315,customers!$A$1:$A$1001,customers!$G$1:$G$1001,customers!A314:H1287)</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7">
        <f t="shared" si="12"/>
        <v>29.849999999999998</v>
      </c>
      <c r="N315" t="str">
        <f t="shared" si="13"/>
        <v>Robusta</v>
      </c>
      <c r="O315" t="str">
        <f t="shared" si="14"/>
        <v>Medium</v>
      </c>
      <c r="P315" t="str">
        <f>_xlfn.XLOOKUP(C315,customers!$A$1:$A$1001,customers!$I$1:$I$1001,0)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IF(_xlfn.XLOOKUP(C316,customers!$A$1:$A$1001,customers!$C$1:$C$1001,)=0,"",_xlfn.XLOOKUP(C316,customers!$A$1:$A$1001,customers!$C$1:$C$1001,))</f>
        <v/>
      </c>
      <c r="H316" s="2" t="str" cm="1">
        <f t="array" ref="H316">_xlfn.XLOOKUP(C316,customers!$A$1:$A$1001,customers!$G$1:$G$1001,customers!A315:H1288)</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7">
        <f t="shared" si="12"/>
        <v>44.75</v>
      </c>
      <c r="N316" t="str">
        <f t="shared" si="13"/>
        <v>Robusta</v>
      </c>
      <c r="O316" t="str">
        <f t="shared" si="14"/>
        <v>Dark</v>
      </c>
      <c r="P316" t="str">
        <f>_xlfn.XLOOKUP(C316,customers!$A$1:$A$1001,customers!$I$1:$I$1001,0)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IF(_xlfn.XLOOKUP(C317,customers!$A$1:$A$1001,customers!$C$1:$C$1001,)=0,"",_xlfn.XLOOKUP(C317,customers!$A$1:$A$1001,customers!$C$1:$C$1001,))</f>
        <v>mbrockway8r@ibm.com</v>
      </c>
      <c r="H317" s="2" t="str" cm="1">
        <f t="array" ref="H317">_xlfn.XLOOKUP(C317,customers!$A$1:$A$1001,customers!$G$1:$G$1001,customers!A316:H1289)</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7">
        <f t="shared" si="12"/>
        <v>34.154999999999994</v>
      </c>
      <c r="N317" t="str">
        <f t="shared" si="13"/>
        <v>Excelsa</v>
      </c>
      <c r="O317" t="str">
        <f t="shared" si="14"/>
        <v>Large</v>
      </c>
      <c r="P317" t="str">
        <f>_xlfn.XLOOKUP(C317,customers!$A$1:$A$1001,customers!$I$1:$I$1001,0)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IF(_xlfn.XLOOKUP(C318,customers!$A$1:$A$1001,customers!$C$1:$C$1001,)=0,"",_xlfn.XLOOKUP(C318,customers!$A$1:$A$1001,customers!$C$1:$C$1001,))</f>
        <v>nlush8s@dedecms.com</v>
      </c>
      <c r="H318" s="2" t="str" cm="1">
        <f t="array" ref="H318">_xlfn.XLOOKUP(C318,customers!$A$1:$A$1001,customers!$G$1:$G$1001,customers!A317:H1290)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7">
        <f t="shared" si="12"/>
        <v>204.92999999999995</v>
      </c>
      <c r="N318" t="str">
        <f t="shared" si="13"/>
        <v>Excelsa</v>
      </c>
      <c r="O318" t="str">
        <f t="shared" si="14"/>
        <v>Large</v>
      </c>
      <c r="P318" t="str">
        <f>_xlfn.XLOOKUP(C318,customers!$A$1:$A$1001,customers!$I$1:$I$1001,0)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IF(_xlfn.XLOOKUP(C319,customers!$A$1:$A$1001,customers!$C$1:$C$1001,)=0,"",_xlfn.XLOOKUP(C319,customers!$A$1:$A$1001,customers!$C$1:$C$1001,))</f>
        <v>smcmillian8t@csmonitor.com</v>
      </c>
      <c r="H319" s="2" t="str" cm="1">
        <f t="array" ref="H319">_xlfn.XLOOKUP(C319,customers!$A$1:$A$1001,customers!$G$1:$G$1001,customers!A318:H1291)</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7">
        <f t="shared" si="12"/>
        <v>21.87</v>
      </c>
      <c r="N319" t="str">
        <f t="shared" si="13"/>
        <v>Excelsa</v>
      </c>
      <c r="O319" t="str">
        <f t="shared" si="14"/>
        <v>Dark</v>
      </c>
      <c r="P319" t="str">
        <f>_xlfn.XLOOKUP(C319,customers!$A$1:$A$1001,customers!$I$1:$I$1001,0)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IF(_xlfn.XLOOKUP(C320,customers!$A$1:$A$1001,customers!$C$1:$C$1001,)=0,"",_xlfn.XLOOKUP(C320,customers!$A$1:$A$1001,customers!$C$1:$C$1001,))</f>
        <v>tbennison8u@google.cn</v>
      </c>
      <c r="H320" s="2" t="str" cm="1">
        <f t="array" ref="H320">_xlfn.XLOOKUP(C320,customers!$A$1:$A$1001,customers!$G$1:$G$1001,customers!A319:H1292)</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7">
        <f t="shared" si="12"/>
        <v>51.749999999999993</v>
      </c>
      <c r="N320" t="str">
        <f t="shared" si="13"/>
        <v>Arabic</v>
      </c>
      <c r="O320" t="str">
        <f t="shared" si="14"/>
        <v>Medium</v>
      </c>
      <c r="P320" t="str">
        <f>_xlfn.XLOOKUP(C320,customers!$A$1:$A$1001,customers!$I$1:$I$1001,0)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IF(_xlfn.XLOOKUP(C321,customers!$A$1:$A$1001,customers!$C$1:$C$1001,)=0,"",_xlfn.XLOOKUP(C321,customers!$A$1:$A$1001,customers!$C$1:$C$1001,))</f>
        <v>gtweed8v@yolasite.com</v>
      </c>
      <c r="H321" s="2" t="str" cm="1">
        <f t="array" ref="H321">_xlfn.XLOOKUP(C321,customers!$A$1:$A$1001,customers!$G$1:$G$1001,customers!A320:H1293)</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7">
        <f t="shared" si="12"/>
        <v>8.25</v>
      </c>
      <c r="N321" t="str">
        <f t="shared" si="13"/>
        <v>Excelsa</v>
      </c>
      <c r="O321" t="str">
        <f t="shared" si="14"/>
        <v>Medium</v>
      </c>
      <c r="P321" t="str">
        <f>_xlfn.XLOOKUP(C321,customers!$A$1:$A$1001,customers!$I$1:$I$1001,0)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IF(_xlfn.XLOOKUP(C322,customers!$A$1:$A$1001,customers!$C$1:$C$1001,)=0,"",_xlfn.XLOOKUP(C322,customers!$A$1:$A$1001,customers!$C$1:$C$1001,))</f>
        <v>gtweed8v@yolasite.com</v>
      </c>
      <c r="H322" s="2" t="str" cm="1">
        <f t="array" ref="H322">_xlfn.XLOOKUP(C322,customers!$A$1:$A$1001,customers!$G$1:$G$1001,customers!A321:H1294)</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7">
        <f t="shared" si="12"/>
        <v>19.424999999999997</v>
      </c>
      <c r="N322" t="str">
        <f t="shared" si="13"/>
        <v>Arabic</v>
      </c>
      <c r="O322" t="str">
        <f t="shared" si="14"/>
        <v>Large</v>
      </c>
      <c r="P322" t="str">
        <f>_xlfn.XLOOKUP(C322,customers!$A$1:$A$1001,customers!$I$1:$I$1001,0)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IF(_xlfn.XLOOKUP(C323,customers!$A$1:$A$1001,customers!$C$1:$C$1001,)=0,"",_xlfn.XLOOKUP(C323,customers!$A$1:$A$1001,customers!$C$1:$C$1001,))</f>
        <v>ggoggin8x@wix.com</v>
      </c>
      <c r="H323" s="2" t="str" cm="1">
        <f t="array" ref="H323">_xlfn.XLOOKUP(C323,customers!$A$1:$A$1001,customers!$G$1:$G$1001,customers!A322:H1295)</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7">
        <f t="shared" ref="M323:M386" si="15">L323*E323</f>
        <v>20.25</v>
      </c>
      <c r="N323" t="str">
        <f t="shared" ref="N323:N386" si="16">IF(I323="Rob","Robusta",IF(I323="Exc","Excelsa",IF(I323="Ara","Arabic",IF(I323="Lib","Librica"))))</f>
        <v>Arabic</v>
      </c>
      <c r="O323" t="str">
        <f t="shared" ref="O323:O386" si="17">IF(J323="M","Medium",IF(J323="L","Large",IF(J323="D","Dark")))</f>
        <v>Medium</v>
      </c>
      <c r="P323" t="str">
        <f>_xlfn.XLOOKUP(C323,customers!$A$1:$A$1001,customers!$I$1:$I$1001,0)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IF(_xlfn.XLOOKUP(C324,customers!$A$1:$A$1001,customers!$C$1:$C$1001,)=0,"",_xlfn.XLOOKUP(C324,customers!$A$1:$A$1001,customers!$C$1:$C$1001,))</f>
        <v>sjeyness8y@biglobe.ne.jp</v>
      </c>
      <c r="H324" s="2" t="str" cm="1">
        <f t="array" ref="H324">_xlfn.XLOOKUP(C324,customers!$A$1:$A$1001,customers!$G$1:$G$1001,customers!A323:H1296)</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7">
        <f t="shared" si="15"/>
        <v>23.31</v>
      </c>
      <c r="N324" t="str">
        <f t="shared" si="16"/>
        <v>Librica</v>
      </c>
      <c r="O324" t="str">
        <f t="shared" si="17"/>
        <v>Dark</v>
      </c>
      <c r="P324" t="str">
        <f>_xlfn.XLOOKUP(C324,customers!$A$1:$A$1001,customers!$I$1:$I$1001,0)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IF(_xlfn.XLOOKUP(C325,customers!$A$1:$A$1001,customers!$C$1:$C$1001,)=0,"",_xlfn.XLOOKUP(C325,customers!$A$1:$A$1001,customers!$C$1:$C$1001,))</f>
        <v>dbonhome8z@shinystat.com</v>
      </c>
      <c r="H325" s="2" t="str" cm="1">
        <f t="array" ref="H325">_xlfn.XLOOKUP(C325,customers!$A$1:$A$1001,customers!$G$1:$G$1001,customers!A324:H1297)</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7">
        <f t="shared" si="15"/>
        <v>18.225000000000001</v>
      </c>
      <c r="N325" t="str">
        <f t="shared" si="16"/>
        <v>Excelsa</v>
      </c>
      <c r="O325" t="str">
        <f t="shared" si="17"/>
        <v>Dark</v>
      </c>
      <c r="P325" t="str">
        <f>_xlfn.XLOOKUP(C325,customers!$A$1:$A$1001,customers!$I$1:$I$1001,0)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IF(_xlfn.XLOOKUP(C326,customers!$A$1:$A$1001,customers!$C$1:$C$1001,)=0,"",_xlfn.XLOOKUP(C326,customers!$A$1:$A$1001,customers!$C$1:$C$1001,))</f>
        <v/>
      </c>
      <c r="H326" s="2" t="str" cm="1">
        <f t="array" ref="H326">_xlfn.XLOOKUP(C326,customers!$A$1:$A$1001,customers!$G$1:$G$1001,customers!A325:H1298)</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7">
        <f t="shared" si="15"/>
        <v>13.75</v>
      </c>
      <c r="N326" t="str">
        <f t="shared" si="16"/>
        <v>Excelsa</v>
      </c>
      <c r="O326" t="str">
        <f t="shared" si="17"/>
        <v>Medium</v>
      </c>
      <c r="P326" t="str">
        <f>_xlfn.XLOOKUP(C326,customers!$A$1:$A$1001,customers!$I$1:$I$1001,0)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IF(_xlfn.XLOOKUP(C327,customers!$A$1:$A$1001,customers!$C$1:$C$1001,)=0,"",_xlfn.XLOOKUP(C327,customers!$A$1:$A$1001,customers!$C$1:$C$1001,))</f>
        <v>tle91@epa.gov</v>
      </c>
      <c r="H327" s="2" t="str" cm="1">
        <f t="array" ref="H327">_xlfn.XLOOKUP(C327,customers!$A$1:$A$1001,customers!$G$1:$G$1001,customers!A326:H1299)</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7">
        <f t="shared" si="15"/>
        <v>29.784999999999997</v>
      </c>
      <c r="N327" t="str">
        <f t="shared" si="16"/>
        <v>Arabic</v>
      </c>
      <c r="O327" t="str">
        <f t="shared" si="17"/>
        <v>Large</v>
      </c>
      <c r="P327" t="str">
        <f>_xlfn.XLOOKUP(C327,customers!$A$1:$A$1001,customers!$I$1:$I$1001,0)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IF(_xlfn.XLOOKUP(C328,customers!$A$1:$A$1001,customers!$C$1:$C$1001,)=0,"",_xlfn.XLOOKUP(C328,customers!$A$1:$A$1001,customers!$C$1:$C$1001,))</f>
        <v/>
      </c>
      <c r="H328" s="2" t="str" cm="1">
        <f t="array" ref="H328">_xlfn.XLOOKUP(C328,customers!$A$1:$A$1001,customers!$G$1:$G$1001,customers!A327:H1300)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7">
        <f t="shared" si="15"/>
        <v>44.75</v>
      </c>
      <c r="N328" t="str">
        <f t="shared" si="16"/>
        <v>Robusta</v>
      </c>
      <c r="O328" t="str">
        <f t="shared" si="17"/>
        <v>Dark</v>
      </c>
      <c r="P328" t="str">
        <f>_xlfn.XLOOKUP(C328,customers!$A$1:$A$1001,customers!$I$1:$I$1001,0)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IF(_xlfn.XLOOKUP(C329,customers!$A$1:$A$1001,customers!$C$1:$C$1001,)=0,"",_xlfn.XLOOKUP(C329,customers!$A$1:$A$1001,customers!$C$1:$C$1001,))</f>
        <v>balldridge93@yandex.ru</v>
      </c>
      <c r="H329" s="2" t="str" cm="1">
        <f t="array" ref="H329">_xlfn.XLOOKUP(C329,customers!$A$1:$A$1001,customers!$G$1:$G$1001,customers!A328:H1301)</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7">
        <f t="shared" si="15"/>
        <v>44.75</v>
      </c>
      <c r="N329" t="str">
        <f t="shared" si="16"/>
        <v>Robusta</v>
      </c>
      <c r="O329" t="str">
        <f t="shared" si="17"/>
        <v>Dark</v>
      </c>
      <c r="P329" t="str">
        <f>_xlfn.XLOOKUP(C329,customers!$A$1:$A$1001,customers!$I$1:$I$1001,0)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IF(_xlfn.XLOOKUP(C330,customers!$A$1:$A$1001,customers!$C$1:$C$1001,)=0,"",_xlfn.XLOOKUP(C330,customers!$A$1:$A$1001,customers!$C$1:$C$1001,))</f>
        <v/>
      </c>
      <c r="H330" s="2" t="str" cm="1">
        <f t="array" ref="H330">_xlfn.XLOOKUP(C330,customers!$A$1:$A$1001,customers!$G$1:$G$1001,customers!A329:H1302)</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7">
        <f t="shared" si="15"/>
        <v>38.04</v>
      </c>
      <c r="N330" t="str">
        <f t="shared" si="16"/>
        <v>Librica</v>
      </c>
      <c r="O330" t="str">
        <f t="shared" si="17"/>
        <v>Large</v>
      </c>
      <c r="P330" t="str">
        <f>_xlfn.XLOOKUP(C330,customers!$A$1:$A$1001,customers!$I$1:$I$1001,0)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IF(_xlfn.XLOOKUP(C331,customers!$A$1:$A$1001,customers!$C$1:$C$1001,)=0,"",_xlfn.XLOOKUP(C331,customers!$A$1:$A$1001,customers!$C$1:$C$1001,))</f>
        <v>lgoodger95@guardian.co.uk</v>
      </c>
      <c r="H331" s="2" t="str" cm="1">
        <f t="array" ref="H331">_xlfn.XLOOKUP(C331,customers!$A$1:$A$1001,customers!$G$1:$G$1001,customers!A330:H1303)</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7">
        <f t="shared" si="15"/>
        <v>21.479999999999997</v>
      </c>
      <c r="N331" t="str">
        <f t="shared" si="16"/>
        <v>Robusta</v>
      </c>
      <c r="O331" t="str">
        <f t="shared" si="17"/>
        <v>Dark</v>
      </c>
      <c r="P331" t="str">
        <f>_xlfn.XLOOKUP(C331,customers!$A$1:$A$1001,customers!$I$1:$I$1001,0)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IF(_xlfn.XLOOKUP(C332,customers!$A$1:$A$1001,customers!$C$1:$C$1001,)=0,"",_xlfn.XLOOKUP(C332,customers!$A$1:$A$1001,customers!$C$1:$C$1001,))</f>
        <v>smcmillian8t@csmonitor.com</v>
      </c>
      <c r="H332" s="2" t="str" cm="1">
        <f t="array" ref="H332">_xlfn.XLOOKUP(C332,customers!$A$1:$A$1001,customers!$G$1:$G$1001,customers!A331:H1304)</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7">
        <f t="shared" si="15"/>
        <v>16.11</v>
      </c>
      <c r="N332" t="str">
        <f t="shared" si="16"/>
        <v>Robusta</v>
      </c>
      <c r="O332" t="str">
        <f t="shared" si="17"/>
        <v>Dark</v>
      </c>
      <c r="P332" t="str">
        <f>_xlfn.XLOOKUP(C332,customers!$A$1:$A$1001,customers!$I$1:$I$1001,0)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IF(_xlfn.XLOOKUP(C333,customers!$A$1:$A$1001,customers!$C$1:$C$1001,)=0,"",_xlfn.XLOOKUP(C333,customers!$A$1:$A$1001,customers!$C$1:$C$1001,))</f>
        <v>cdrewett97@wikipedia.org</v>
      </c>
      <c r="H333" s="2" t="str" cm="1">
        <f t="array" ref="H333">_xlfn.XLOOKUP(C333,customers!$A$1:$A$1001,customers!$G$1:$G$1001,customers!A332:H1305)</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7">
        <f t="shared" si="15"/>
        <v>22.884999999999998</v>
      </c>
      <c r="N333" t="str">
        <f t="shared" si="16"/>
        <v>Robusta</v>
      </c>
      <c r="O333" t="str">
        <f t="shared" si="17"/>
        <v>Medium</v>
      </c>
      <c r="P333" t="str">
        <f>_xlfn.XLOOKUP(C333,customers!$A$1:$A$1001,customers!$I$1:$I$1001,0)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IF(_xlfn.XLOOKUP(C334,customers!$A$1:$A$1001,customers!$C$1:$C$1001,)=0,"",_xlfn.XLOOKUP(C334,customers!$A$1:$A$1001,customers!$C$1:$C$1001,))</f>
        <v>qparsons98@blogtalkradio.com</v>
      </c>
      <c r="H334" s="2" t="str" cm="1">
        <f t="array" ref="H334">_xlfn.XLOOKUP(C334,customers!$A$1:$A$1001,customers!$G$1:$G$1001,customers!A333:H1306)</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7">
        <f t="shared" si="15"/>
        <v>17.91</v>
      </c>
      <c r="N334" t="str">
        <f t="shared" si="16"/>
        <v>Arabic</v>
      </c>
      <c r="O334" t="str">
        <f t="shared" si="17"/>
        <v>Dark</v>
      </c>
      <c r="P334" t="str">
        <f>_xlfn.XLOOKUP(C334,customers!$A$1:$A$1001,customers!$I$1:$I$1001,0)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IF(_xlfn.XLOOKUP(C335,customers!$A$1:$A$1001,customers!$C$1:$C$1001,)=0,"",_xlfn.XLOOKUP(C335,customers!$A$1:$A$1001,customers!$C$1:$C$1001,))</f>
        <v>vceely99@auda.org.au</v>
      </c>
      <c r="H335" s="2" t="str" cm="1">
        <f t="array" ref="H335">_xlfn.XLOOKUP(C335,customers!$A$1:$A$1001,customers!$G$1:$G$1001,customers!A334:H1307)</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7">
        <f t="shared" si="15"/>
        <v>23.88</v>
      </c>
      <c r="N335" t="str">
        <f t="shared" si="16"/>
        <v>Robusta</v>
      </c>
      <c r="O335" t="str">
        <f t="shared" si="17"/>
        <v>Medium</v>
      </c>
      <c r="P335" t="str">
        <f>_xlfn.XLOOKUP(C335,customers!$A$1:$A$1001,customers!$I$1:$I$1001,0)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IF(_xlfn.XLOOKUP(C336,customers!$A$1:$A$1001,customers!$C$1:$C$1001,)=0,"",_xlfn.XLOOKUP(C336,customers!$A$1:$A$1001,customers!$C$1:$C$1001,))</f>
        <v/>
      </c>
      <c r="H336" s="2" t="str" cm="1">
        <f t="array" ref="H336">_xlfn.XLOOKUP(C336,customers!$A$1:$A$1001,customers!$G$1:$G$1001,customers!A335:H1308)</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7">
        <f t="shared" si="15"/>
        <v>59.75</v>
      </c>
      <c r="N336" t="str">
        <f t="shared" si="16"/>
        <v>Robusta</v>
      </c>
      <c r="O336" t="str">
        <f t="shared" si="17"/>
        <v>Large</v>
      </c>
      <c r="P336" t="str">
        <f>_xlfn.XLOOKUP(C336,customers!$A$1:$A$1001,customers!$I$1:$I$1001,0)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IF(_xlfn.XLOOKUP(C337,customers!$A$1:$A$1001,customers!$C$1:$C$1001,)=0,"",_xlfn.XLOOKUP(C337,customers!$A$1:$A$1001,customers!$C$1:$C$1001,))</f>
        <v>cvasiliev9b@discuz.net</v>
      </c>
      <c r="H337" s="2" t="str" cm="1">
        <f t="array" ref="H337">_xlfn.XLOOKUP(C337,customers!$A$1:$A$1001,customers!$G$1:$G$1001,customers!A336:H1309)</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7">
        <f t="shared" si="15"/>
        <v>28.53</v>
      </c>
      <c r="N337" t="str">
        <f t="shared" si="16"/>
        <v>Librica</v>
      </c>
      <c r="O337" t="str">
        <f t="shared" si="17"/>
        <v>Large</v>
      </c>
      <c r="P337" t="str">
        <f>_xlfn.XLOOKUP(C337,customers!$A$1:$A$1001,customers!$I$1:$I$1001,0)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IF(_xlfn.XLOOKUP(C338,customers!$A$1:$A$1001,customers!$C$1:$C$1001,)=0,"",_xlfn.XLOOKUP(C338,customers!$A$1:$A$1001,customers!$C$1:$C$1001,))</f>
        <v>tomoylan9c@liveinternet.ru</v>
      </c>
      <c r="H338" s="2" t="str" cm="1">
        <f t="array" ref="H338">_xlfn.XLOOKUP(C338,customers!$A$1:$A$1001,customers!$G$1:$G$1001,customers!A337:H1310)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7">
        <f t="shared" si="15"/>
        <v>45</v>
      </c>
      <c r="N338" t="str">
        <f t="shared" si="16"/>
        <v>Arabic</v>
      </c>
      <c r="O338" t="str">
        <f t="shared" si="17"/>
        <v>Medium</v>
      </c>
      <c r="P338" t="str">
        <f>_xlfn.XLOOKUP(C338,customers!$A$1:$A$1001,customers!$I$1:$I$1001,0)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IF(_xlfn.XLOOKUP(C339,customers!$A$1:$A$1001,customers!$C$1:$C$1001,)=0,"",_xlfn.XLOOKUP(C339,customers!$A$1:$A$1001,customers!$C$1:$C$1001,))</f>
        <v/>
      </c>
      <c r="H339" s="2" t="str" cm="1">
        <f t="array" ref="H339">_xlfn.XLOOKUP(C339,customers!$A$1:$A$1001,customers!$G$1:$G$1001,customers!A338:H1311)</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7">
        <f t="shared" si="15"/>
        <v>55.89</v>
      </c>
      <c r="N339" t="str">
        <f t="shared" si="16"/>
        <v>Excelsa</v>
      </c>
      <c r="O339" t="str">
        <f t="shared" si="17"/>
        <v>Dark</v>
      </c>
      <c r="P339" t="str">
        <f>_xlfn.XLOOKUP(C339,customers!$A$1:$A$1001,customers!$I$1:$I$1001,0)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IF(_xlfn.XLOOKUP(C340,customers!$A$1:$A$1001,customers!$C$1:$C$1001,)=0,"",_xlfn.XLOOKUP(C340,customers!$A$1:$A$1001,customers!$C$1:$C$1001,))</f>
        <v>wfetherston9e@constantcontact.com</v>
      </c>
      <c r="H340" s="2" t="str" cm="1">
        <f t="array" ref="H340">_xlfn.XLOOKUP(C340,customers!$A$1:$A$1001,customers!$G$1:$G$1001,customers!A339:H1312)</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7">
        <f t="shared" si="15"/>
        <v>59.4</v>
      </c>
      <c r="N340" t="str">
        <f t="shared" si="16"/>
        <v>Excelsa</v>
      </c>
      <c r="O340" t="str">
        <f t="shared" si="17"/>
        <v>Large</v>
      </c>
      <c r="P340" t="str">
        <f>_xlfn.XLOOKUP(C340,customers!$A$1:$A$1001,customers!$I$1:$I$1001,0)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IF(_xlfn.XLOOKUP(C341,customers!$A$1:$A$1001,customers!$C$1:$C$1001,)=0,"",_xlfn.XLOOKUP(C341,customers!$A$1:$A$1001,customers!$C$1:$C$1001,))</f>
        <v>erasmus9f@techcrunch.com</v>
      </c>
      <c r="H341" s="2" t="str" cm="1">
        <f t="array" ref="H341">_xlfn.XLOOKUP(C341,customers!$A$1:$A$1001,customers!$G$1:$G$1001,customers!A340:H1313)</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7">
        <f t="shared" si="15"/>
        <v>7.29</v>
      </c>
      <c r="N341" t="str">
        <f t="shared" si="16"/>
        <v>Excelsa</v>
      </c>
      <c r="O341" t="str">
        <f t="shared" si="17"/>
        <v>Dark</v>
      </c>
      <c r="P341" t="str">
        <f>_xlfn.XLOOKUP(C341,customers!$A$1:$A$1001,customers!$I$1:$I$1001,0)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IF(_xlfn.XLOOKUP(C342,customers!$A$1:$A$1001,customers!$C$1:$C$1001,)=0,"",_xlfn.XLOOKUP(C342,customers!$A$1:$A$1001,customers!$C$1:$C$1001,))</f>
        <v>wgiorgioni9g@wikipedia.org</v>
      </c>
      <c r="H342" s="2" t="str" cm="1">
        <f t="array" ref="H342">_xlfn.XLOOKUP(C342,customers!$A$1:$A$1001,customers!$G$1:$G$1001,customers!A341:H1314)</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7">
        <f t="shared" si="15"/>
        <v>7.29</v>
      </c>
      <c r="N342" t="str">
        <f t="shared" si="16"/>
        <v>Excelsa</v>
      </c>
      <c r="O342" t="str">
        <f t="shared" si="17"/>
        <v>Dark</v>
      </c>
      <c r="P342" t="str">
        <f>_xlfn.XLOOKUP(C342,customers!$A$1:$A$1001,customers!$I$1:$I$1001,0)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IF(_xlfn.XLOOKUP(C343,customers!$A$1:$A$1001,customers!$C$1:$C$1001,)=0,"",_xlfn.XLOOKUP(C343,customers!$A$1:$A$1001,customers!$C$1:$C$1001,))</f>
        <v>lscargle9h@myspace.com</v>
      </c>
      <c r="H343" s="2" t="str" cm="1">
        <f t="array" ref="H343">_xlfn.XLOOKUP(C343,customers!$A$1:$A$1001,customers!$G$1:$G$1001,customers!A342:H1315)</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7">
        <f t="shared" si="15"/>
        <v>17.82</v>
      </c>
      <c r="N343" t="str">
        <f t="shared" si="16"/>
        <v>Excelsa</v>
      </c>
      <c r="O343" t="str">
        <f t="shared" si="17"/>
        <v>Large</v>
      </c>
      <c r="P343" t="str">
        <f>_xlfn.XLOOKUP(C343,customers!$A$1:$A$1001,customers!$I$1:$I$1001,0)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IF(_xlfn.XLOOKUP(C344,customers!$A$1:$A$1001,customers!$C$1:$C$1001,)=0,"",_xlfn.XLOOKUP(C344,customers!$A$1:$A$1001,customers!$C$1:$C$1001,))</f>
        <v>lscargle9h@myspace.com</v>
      </c>
      <c r="H344" s="2" t="str" cm="1">
        <f t="array" ref="H344">_xlfn.XLOOKUP(C344,customers!$A$1:$A$1001,customers!$G$1:$G$1001,customers!A343:H1316)</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7">
        <f t="shared" si="15"/>
        <v>38.849999999999994</v>
      </c>
      <c r="N344" t="str">
        <f t="shared" si="16"/>
        <v>Librica</v>
      </c>
      <c r="O344" t="str">
        <f t="shared" si="17"/>
        <v>Dark</v>
      </c>
      <c r="P344" t="str">
        <f>_xlfn.XLOOKUP(C344,customers!$A$1:$A$1001,customers!$I$1:$I$1001,0)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IF(_xlfn.XLOOKUP(C345,customers!$A$1:$A$1001,customers!$C$1:$C$1001,)=0,"",_xlfn.XLOOKUP(C345,customers!$A$1:$A$1001,customers!$C$1:$C$1001,))</f>
        <v>nclimance9j@europa.eu</v>
      </c>
      <c r="H345" s="2" t="str" cm="1">
        <f t="array" ref="H345">_xlfn.XLOOKUP(C345,customers!$A$1:$A$1001,customers!$G$1:$G$1001,customers!A344:H1317)</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7">
        <f t="shared" si="15"/>
        <v>32.22</v>
      </c>
      <c r="N345" t="str">
        <f t="shared" si="16"/>
        <v>Robusta</v>
      </c>
      <c r="O345" t="str">
        <f t="shared" si="17"/>
        <v>Dark</v>
      </c>
      <c r="P345" t="str">
        <f>_xlfn.XLOOKUP(C345,customers!$A$1:$A$1001,customers!$I$1:$I$1001,0)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IF(_xlfn.XLOOKUP(C346,customers!$A$1:$A$1001,customers!$C$1:$C$1001,)=0,"",_xlfn.XLOOKUP(C346,customers!$A$1:$A$1001,customers!$C$1:$C$1001,))</f>
        <v/>
      </c>
      <c r="H346" s="2" t="str" cm="1">
        <f t="array" ref="H346">_xlfn.XLOOKUP(C346,customers!$A$1:$A$1001,customers!$G$1:$G$1001,customers!A345:H1318)</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7">
        <f t="shared" si="15"/>
        <v>19.899999999999999</v>
      </c>
      <c r="N346" t="str">
        <f t="shared" si="16"/>
        <v>Robusta</v>
      </c>
      <c r="O346" t="str">
        <f t="shared" si="17"/>
        <v>Medium</v>
      </c>
      <c r="P346" t="str">
        <f>_xlfn.XLOOKUP(C346,customers!$A$1:$A$1001,customers!$I$1:$I$1001,0)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IF(_xlfn.XLOOKUP(C347,customers!$A$1:$A$1001,customers!$C$1:$C$1001,)=0,"",_xlfn.XLOOKUP(C347,customers!$A$1:$A$1001,customers!$C$1:$C$1001,))</f>
        <v>asnazle9l@oracle.com</v>
      </c>
      <c r="H347" s="2" t="str" cm="1">
        <f t="array" ref="H347">_xlfn.XLOOKUP(C347,customers!$A$1:$A$1001,customers!$G$1:$G$1001,customers!A346:H1319)</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7">
        <f t="shared" si="15"/>
        <v>59.75</v>
      </c>
      <c r="N347" t="str">
        <f t="shared" si="16"/>
        <v>Robusta</v>
      </c>
      <c r="O347" t="str">
        <f t="shared" si="17"/>
        <v>Large</v>
      </c>
      <c r="P347" t="str">
        <f>_xlfn.XLOOKUP(C347,customers!$A$1:$A$1001,customers!$I$1:$I$1001,0)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IF(_xlfn.XLOOKUP(C348,customers!$A$1:$A$1001,customers!$C$1:$C$1001,)=0,"",_xlfn.XLOOKUP(C348,customers!$A$1:$A$1001,customers!$C$1:$C$1001,))</f>
        <v>rworg9m@arstechnica.com</v>
      </c>
      <c r="H348" s="2" t="str" cm="1">
        <f t="array" ref="H348">_xlfn.XLOOKUP(C348,customers!$A$1:$A$1001,customers!$G$1:$G$1001,customers!A347:H1320)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7">
        <f t="shared" si="15"/>
        <v>23.31</v>
      </c>
      <c r="N348" t="str">
        <f t="shared" si="16"/>
        <v>Arabic</v>
      </c>
      <c r="O348" t="str">
        <f t="shared" si="17"/>
        <v>Large</v>
      </c>
      <c r="P348" t="str">
        <f>_xlfn.XLOOKUP(C348,customers!$A$1:$A$1001,customers!$I$1:$I$1001,0)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IF(_xlfn.XLOOKUP(C349,customers!$A$1:$A$1001,customers!$C$1:$C$1001,)=0,"",_xlfn.XLOOKUP(C349,customers!$A$1:$A$1001,customers!$C$1:$C$1001,))</f>
        <v>ldanes9n@umn.edu</v>
      </c>
      <c r="H349" s="2" t="str" cm="1">
        <f t="array" ref="H349">_xlfn.XLOOKUP(C349,customers!$A$1:$A$1001,customers!$G$1:$G$1001,customers!A348:H1321)</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7">
        <f t="shared" si="15"/>
        <v>43.650000000000006</v>
      </c>
      <c r="N349" t="str">
        <f t="shared" si="16"/>
        <v>Librica</v>
      </c>
      <c r="O349" t="str">
        <f t="shared" si="17"/>
        <v>Medium</v>
      </c>
      <c r="P349" t="str">
        <f>_xlfn.XLOOKUP(C349,customers!$A$1:$A$1001,customers!$I$1:$I$1001,0)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IF(_xlfn.XLOOKUP(C350,customers!$A$1:$A$1001,customers!$C$1:$C$1001,)=0,"",_xlfn.XLOOKUP(C350,customers!$A$1:$A$1001,customers!$C$1:$C$1001,))</f>
        <v>skeynd9o@narod.ru</v>
      </c>
      <c r="H350" s="2" t="str" cm="1">
        <f t="array" ref="H350">_xlfn.XLOOKUP(C350,customers!$A$1:$A$1001,customers!$G$1:$G$1001,customers!A349:H1322)</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7">
        <f t="shared" si="15"/>
        <v>204.92999999999995</v>
      </c>
      <c r="N350" t="str">
        <f t="shared" si="16"/>
        <v>Excelsa</v>
      </c>
      <c r="O350" t="str">
        <f t="shared" si="17"/>
        <v>Large</v>
      </c>
      <c r="P350" t="str">
        <f>_xlfn.XLOOKUP(C350,customers!$A$1:$A$1001,customers!$I$1:$I$1001,0)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IF(_xlfn.XLOOKUP(C351,customers!$A$1:$A$1001,customers!$C$1:$C$1001,)=0,"",_xlfn.XLOOKUP(C351,customers!$A$1:$A$1001,customers!$C$1:$C$1001,))</f>
        <v>ddaveridge9p@arstechnica.com</v>
      </c>
      <c r="H351" s="2" t="str" cm="1">
        <f t="array" ref="H351">_xlfn.XLOOKUP(C351,customers!$A$1:$A$1001,customers!$G$1:$G$1001,customers!A350:H1323)</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7">
        <f t="shared" si="15"/>
        <v>14.339999999999998</v>
      </c>
      <c r="N351" t="str">
        <f t="shared" si="16"/>
        <v>Robusta</v>
      </c>
      <c r="O351" t="str">
        <f t="shared" si="17"/>
        <v>Large</v>
      </c>
      <c r="P351" t="str">
        <f>_xlfn.XLOOKUP(C351,customers!$A$1:$A$1001,customers!$I$1:$I$1001,0)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IF(_xlfn.XLOOKUP(C352,customers!$A$1:$A$1001,customers!$C$1:$C$1001,)=0,"",_xlfn.XLOOKUP(C352,customers!$A$1:$A$1001,customers!$C$1:$C$1001,))</f>
        <v>jawdry9q@utexas.edu</v>
      </c>
      <c r="H352" s="2" t="str" cm="1">
        <f t="array" ref="H352">_xlfn.XLOOKUP(C352,customers!$A$1:$A$1001,customers!$G$1:$G$1001,customers!A351:H1324)</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7">
        <f t="shared" si="15"/>
        <v>23.88</v>
      </c>
      <c r="N352" t="str">
        <f t="shared" si="16"/>
        <v>Arabic</v>
      </c>
      <c r="O352" t="str">
        <f t="shared" si="17"/>
        <v>Dark</v>
      </c>
      <c r="P352" t="str">
        <f>_xlfn.XLOOKUP(C352,customers!$A$1:$A$1001,customers!$I$1:$I$1001,0)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IF(_xlfn.XLOOKUP(C353,customers!$A$1:$A$1001,customers!$C$1:$C$1001,)=0,"",_xlfn.XLOOKUP(C353,customers!$A$1:$A$1001,customers!$C$1:$C$1001,))</f>
        <v>eryles9r@fastcompany.com</v>
      </c>
      <c r="H353" s="2" t="str" cm="1">
        <f t="array" ref="H353">_xlfn.XLOOKUP(C353,customers!$A$1:$A$1001,customers!$G$1:$G$1001,customers!A352:H1325)</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7">
        <f t="shared" si="15"/>
        <v>22.5</v>
      </c>
      <c r="N353" t="str">
        <f t="shared" si="16"/>
        <v>Arabic</v>
      </c>
      <c r="O353" t="str">
        <f t="shared" si="17"/>
        <v>Medium</v>
      </c>
      <c r="P353" t="str">
        <f>_xlfn.XLOOKUP(C353,customers!$A$1:$A$1001,customers!$I$1:$I$1001,0)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IF(_xlfn.XLOOKUP(C354,customers!$A$1:$A$1001,customers!$C$1:$C$1001,)=0,"",_xlfn.XLOOKUP(C354,customers!$A$1:$A$1001,customers!$C$1:$C$1001,))</f>
        <v/>
      </c>
      <c r="H354" s="2" t="str" cm="1">
        <f t="array" ref="H354">_xlfn.XLOOKUP(C354,customers!$A$1:$A$1001,customers!$G$1:$G$1001,customers!A353:H1326)</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7">
        <f t="shared" si="15"/>
        <v>36.450000000000003</v>
      </c>
      <c r="N354" t="str">
        <f t="shared" si="16"/>
        <v>Excelsa</v>
      </c>
      <c r="O354" t="str">
        <f t="shared" si="17"/>
        <v>Dark</v>
      </c>
      <c r="P354" t="str">
        <f>_xlfn.XLOOKUP(C354,customers!$A$1:$A$1001,customers!$I$1:$I$1001,0)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IF(_xlfn.XLOOKUP(C355,customers!$A$1:$A$1001,customers!$C$1:$C$1001,)=0,"",_xlfn.XLOOKUP(C355,customers!$A$1:$A$1001,customers!$C$1:$C$1001,))</f>
        <v/>
      </c>
      <c r="H355" s="2" t="str" cm="1">
        <f t="array" ref="H355">_xlfn.XLOOKUP(C355,customers!$A$1:$A$1001,customers!$G$1:$G$1001,customers!A354:H1327)</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7">
        <f t="shared" si="15"/>
        <v>27</v>
      </c>
      <c r="N355" t="str">
        <f t="shared" si="16"/>
        <v>Arabic</v>
      </c>
      <c r="O355" t="str">
        <f t="shared" si="17"/>
        <v>Medium</v>
      </c>
      <c r="P355" t="str">
        <f>_xlfn.XLOOKUP(C355,customers!$A$1:$A$1001,customers!$I$1:$I$1001,0)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IF(_xlfn.XLOOKUP(C356,customers!$A$1:$A$1001,customers!$C$1:$C$1001,)=0,"",_xlfn.XLOOKUP(C356,customers!$A$1:$A$1001,customers!$C$1:$C$1001,))</f>
        <v>jcaldicott9u@usda.gov</v>
      </c>
      <c r="H356" s="2" t="str" cm="1">
        <f t="array" ref="H356">_xlfn.XLOOKUP(C356,customers!$A$1:$A$1001,customers!$G$1:$G$1001,customers!A355:H1328)</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7">
        <f t="shared" si="15"/>
        <v>155.24999999999997</v>
      </c>
      <c r="N356" t="str">
        <f t="shared" si="16"/>
        <v>Arabic</v>
      </c>
      <c r="O356" t="str">
        <f t="shared" si="17"/>
        <v>Medium</v>
      </c>
      <c r="P356" t="str">
        <f>_xlfn.XLOOKUP(C356,customers!$A$1:$A$1001,customers!$I$1:$I$1001,0)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IF(_xlfn.XLOOKUP(C357,customers!$A$1:$A$1001,customers!$C$1:$C$1001,)=0,"",_xlfn.XLOOKUP(C357,customers!$A$1:$A$1001,customers!$C$1:$C$1001,))</f>
        <v>mvedmore9v@a8.net</v>
      </c>
      <c r="H357" s="2" t="str" cm="1">
        <f t="array" ref="H357">_xlfn.XLOOKUP(C357,customers!$A$1:$A$1001,customers!$G$1:$G$1001,customers!A356:H1329)</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7">
        <f t="shared" si="15"/>
        <v>114.42499999999998</v>
      </c>
      <c r="N357" t="str">
        <f t="shared" si="16"/>
        <v>Arabic</v>
      </c>
      <c r="O357" t="str">
        <f t="shared" si="17"/>
        <v>Dark</v>
      </c>
      <c r="P357" t="str">
        <f>_xlfn.XLOOKUP(C357,customers!$A$1:$A$1001,customers!$I$1:$I$1001,0)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IF(_xlfn.XLOOKUP(C358,customers!$A$1:$A$1001,customers!$C$1:$C$1001,)=0,"",_xlfn.XLOOKUP(C358,customers!$A$1:$A$1001,customers!$C$1:$C$1001,))</f>
        <v>wromao9w@chronoengine.com</v>
      </c>
      <c r="H358" s="2" t="str" cm="1">
        <f t="array" ref="H358">_xlfn.XLOOKUP(C358,customers!$A$1:$A$1001,customers!$G$1:$G$1001,customers!A357:H1330)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7">
        <f t="shared" si="15"/>
        <v>51.8</v>
      </c>
      <c r="N358" t="str">
        <f t="shared" si="16"/>
        <v>Librica</v>
      </c>
      <c r="O358" t="str">
        <f t="shared" si="17"/>
        <v>Dark</v>
      </c>
      <c r="P358" t="str">
        <f>_xlfn.XLOOKUP(C358,customers!$A$1:$A$1001,customers!$I$1:$I$1001,0)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IF(_xlfn.XLOOKUP(C359,customers!$A$1:$A$1001,customers!$C$1:$C$1001,)=0,"",_xlfn.XLOOKUP(C359,customers!$A$1:$A$1001,customers!$C$1:$C$1001,))</f>
        <v/>
      </c>
      <c r="H359" s="2" t="str" cm="1">
        <f t="array" ref="H359">_xlfn.XLOOKUP(C359,customers!$A$1:$A$1001,customers!$G$1:$G$1001,customers!A358:H1331)</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7">
        <f t="shared" si="15"/>
        <v>155.24999999999997</v>
      </c>
      <c r="N359" t="str">
        <f t="shared" si="16"/>
        <v>Arabic</v>
      </c>
      <c r="O359" t="str">
        <f t="shared" si="17"/>
        <v>Medium</v>
      </c>
      <c r="P359" t="str">
        <f>_xlfn.XLOOKUP(C359,customers!$A$1:$A$1001,customers!$I$1:$I$1001,0)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IF(_xlfn.XLOOKUP(C360,customers!$A$1:$A$1001,customers!$C$1:$C$1001,)=0,"",_xlfn.XLOOKUP(C360,customers!$A$1:$A$1001,customers!$C$1:$C$1001,))</f>
        <v>tcotmore9y@amazonaws.com</v>
      </c>
      <c r="H360" s="2" t="str" cm="1">
        <f t="array" ref="H360">_xlfn.XLOOKUP(C360,customers!$A$1:$A$1001,customers!$G$1:$G$1001,customers!A359:H1332)</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7">
        <f t="shared" si="15"/>
        <v>29.784999999999997</v>
      </c>
      <c r="N360" t="str">
        <f t="shared" si="16"/>
        <v>Arabic</v>
      </c>
      <c r="O360" t="str">
        <f t="shared" si="17"/>
        <v>Large</v>
      </c>
      <c r="P360" t="str">
        <f>_xlfn.XLOOKUP(C360,customers!$A$1:$A$1001,customers!$I$1:$I$1001,0)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IF(_xlfn.XLOOKUP(C361,customers!$A$1:$A$1001,customers!$C$1:$C$1001,)=0,"",_xlfn.XLOOKUP(C361,customers!$A$1:$A$1001,customers!$C$1:$C$1001,))</f>
        <v>yskipsey9z@spotify.com</v>
      </c>
      <c r="H361" s="2" t="str" cm="1">
        <f t="array" ref="H361">_xlfn.XLOOKUP(C361,customers!$A$1:$A$1001,customers!$G$1:$G$1001,customers!A360:H1333)</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7">
        <f t="shared" si="15"/>
        <v>21.509999999999998</v>
      </c>
      <c r="N361" t="str">
        <f t="shared" si="16"/>
        <v>Robusta</v>
      </c>
      <c r="O361" t="str">
        <f t="shared" si="17"/>
        <v>Large</v>
      </c>
      <c r="P361" t="str">
        <f>_xlfn.XLOOKUP(C361,customers!$A$1:$A$1001,customers!$I$1:$I$1001,0)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IF(_xlfn.XLOOKUP(C362,customers!$A$1:$A$1001,customers!$C$1:$C$1001,)=0,"",_xlfn.XLOOKUP(C362,customers!$A$1:$A$1001,customers!$C$1:$C$1001,))</f>
        <v>ncorpsa0@gmpg.org</v>
      </c>
      <c r="H362" s="2" t="str" cm="1">
        <f t="array" ref="H362">_xlfn.XLOOKUP(C362,customers!$A$1:$A$1001,customers!$G$1:$G$1001,customers!A361:H1334)</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7">
        <f t="shared" si="15"/>
        <v>41.169999999999995</v>
      </c>
      <c r="N362" t="str">
        <f t="shared" si="16"/>
        <v>Robusta</v>
      </c>
      <c r="O362" t="str">
        <f t="shared" si="17"/>
        <v>Dark</v>
      </c>
      <c r="P362" t="str">
        <f>_xlfn.XLOOKUP(C362,customers!$A$1:$A$1001,customers!$I$1:$I$1001,0)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IF(_xlfn.XLOOKUP(C363,customers!$A$1:$A$1001,customers!$C$1:$C$1001,)=0,"",_xlfn.XLOOKUP(C363,customers!$A$1:$A$1001,customers!$C$1:$C$1001,))</f>
        <v>ncorpsa0@gmpg.org</v>
      </c>
      <c r="H363" s="2" t="str" cm="1">
        <f t="array" ref="H363">_xlfn.XLOOKUP(C363,customers!$A$1:$A$1001,customers!$G$1:$G$1001,customers!A362:H1335)</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7">
        <f t="shared" si="15"/>
        <v>5.97</v>
      </c>
      <c r="N363" t="str">
        <f t="shared" si="16"/>
        <v>Robusta</v>
      </c>
      <c r="O363" t="str">
        <f t="shared" si="17"/>
        <v>Medium</v>
      </c>
      <c r="P363" t="str">
        <f>_xlfn.XLOOKUP(C363,customers!$A$1:$A$1001,customers!$I$1:$I$1001,0)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IF(_xlfn.XLOOKUP(C364,customers!$A$1:$A$1001,customers!$C$1:$C$1001,)=0,"",_xlfn.XLOOKUP(C364,customers!$A$1:$A$1001,customers!$C$1:$C$1001,))</f>
        <v>fbabbera2@stanford.edu</v>
      </c>
      <c r="H364" s="2" t="str" cm="1">
        <f t="array" ref="H364">_xlfn.XLOOKUP(C364,customers!$A$1:$A$1001,customers!$G$1:$G$1001,customers!A363:H1336)</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7">
        <f t="shared" si="15"/>
        <v>74.25</v>
      </c>
      <c r="N364" t="str">
        <f t="shared" si="16"/>
        <v>Excelsa</v>
      </c>
      <c r="O364" t="str">
        <f t="shared" si="17"/>
        <v>Large</v>
      </c>
      <c r="P364" t="str">
        <f>_xlfn.XLOOKUP(C364,customers!$A$1:$A$1001,customers!$I$1:$I$1001,0)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IF(_xlfn.XLOOKUP(C365,customers!$A$1:$A$1001,customers!$C$1:$C$1001,)=0,"",_xlfn.XLOOKUP(C365,customers!$A$1:$A$1001,customers!$C$1:$C$1001,))</f>
        <v>kloxtona3@opensource.org</v>
      </c>
      <c r="H365" s="2" t="str" cm="1">
        <f t="array" ref="H365">_xlfn.XLOOKUP(C365,customers!$A$1:$A$1001,customers!$G$1:$G$1001,customers!A364:H1337)</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7">
        <f t="shared" si="15"/>
        <v>87.300000000000011</v>
      </c>
      <c r="N365" t="str">
        <f t="shared" si="16"/>
        <v>Librica</v>
      </c>
      <c r="O365" t="str">
        <f t="shared" si="17"/>
        <v>Medium</v>
      </c>
      <c r="P365" t="str">
        <f>_xlfn.XLOOKUP(C365,customers!$A$1:$A$1001,customers!$I$1:$I$1001,0)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IF(_xlfn.XLOOKUP(C366,customers!$A$1:$A$1001,customers!$C$1:$C$1001,)=0,"",_xlfn.XLOOKUP(C366,customers!$A$1:$A$1001,customers!$C$1:$C$1001,))</f>
        <v>ptoffula4@posterous.com</v>
      </c>
      <c r="H366" s="2" t="str" cm="1">
        <f t="array" ref="H366">_xlfn.XLOOKUP(C366,customers!$A$1:$A$1001,customers!$G$1:$G$1001,customers!A365:H1338)</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7">
        <f t="shared" si="15"/>
        <v>72.900000000000006</v>
      </c>
      <c r="N366" t="str">
        <f t="shared" si="16"/>
        <v>Excelsa</v>
      </c>
      <c r="O366" t="str">
        <f t="shared" si="17"/>
        <v>Dark</v>
      </c>
      <c r="P366" t="str">
        <f>_xlfn.XLOOKUP(C366,customers!$A$1:$A$1001,customers!$I$1:$I$1001,0)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IF(_xlfn.XLOOKUP(C367,customers!$A$1:$A$1001,customers!$C$1:$C$1001,)=0,"",_xlfn.XLOOKUP(C367,customers!$A$1:$A$1001,customers!$C$1:$C$1001,))</f>
        <v>cgwinnetta5@behance.net</v>
      </c>
      <c r="H367" s="2" t="str" cm="1">
        <f t="array" ref="H367">_xlfn.XLOOKUP(C367,customers!$A$1:$A$1001,customers!$G$1:$G$1001,customers!A366:H1339)</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7">
        <f t="shared" si="15"/>
        <v>7.77</v>
      </c>
      <c r="N367" t="str">
        <f t="shared" si="16"/>
        <v>Librica</v>
      </c>
      <c r="O367" t="str">
        <f t="shared" si="17"/>
        <v>Dark</v>
      </c>
      <c r="P367" t="str">
        <f>_xlfn.XLOOKUP(C367,customers!$A$1:$A$1001,customers!$I$1:$I$1001,0)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IF(_xlfn.XLOOKUP(C368,customers!$A$1:$A$1001,customers!$C$1:$C$1001,)=0,"",_xlfn.XLOOKUP(C368,customers!$A$1:$A$1001,customers!$C$1:$C$1001,))</f>
        <v/>
      </c>
      <c r="H368" s="2" t="str" cm="1">
        <f t="array" ref="H368">_xlfn.XLOOKUP(C368,customers!$A$1:$A$1001,customers!$G$1:$G$1001,customers!A367:H1340)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7">
        <f t="shared" si="15"/>
        <v>43.74</v>
      </c>
      <c r="N368" t="str">
        <f t="shared" si="16"/>
        <v>Excelsa</v>
      </c>
      <c r="O368" t="str">
        <f t="shared" si="17"/>
        <v>Dark</v>
      </c>
      <c r="P368" t="str">
        <f>_xlfn.XLOOKUP(C368,customers!$A$1:$A$1001,customers!$I$1:$I$1001,0)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IF(_xlfn.XLOOKUP(C369,customers!$A$1:$A$1001,customers!$C$1:$C$1001,)=0,"",_xlfn.XLOOKUP(C369,customers!$A$1:$A$1001,customers!$C$1:$C$1001,))</f>
        <v/>
      </c>
      <c r="H369" s="2" t="str" cm="1">
        <f t="array" ref="H369">_xlfn.XLOOKUP(C369,customers!$A$1:$A$1001,customers!$G$1:$G$1001,customers!A368:H1341)</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7">
        <f t="shared" si="15"/>
        <v>8.73</v>
      </c>
      <c r="N369" t="str">
        <f t="shared" si="16"/>
        <v>Librica</v>
      </c>
      <c r="O369" t="str">
        <f t="shared" si="17"/>
        <v>Medium</v>
      </c>
      <c r="P369" t="str">
        <f>_xlfn.XLOOKUP(C369,customers!$A$1:$A$1001,customers!$I$1:$I$1001,0)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IF(_xlfn.XLOOKUP(C370,customers!$A$1:$A$1001,customers!$C$1:$C$1001,)=0,"",_xlfn.XLOOKUP(C370,customers!$A$1:$A$1001,customers!$C$1:$C$1001,))</f>
        <v>lflaoniera8@wordpress.org</v>
      </c>
      <c r="H370" s="2" t="str" cm="1">
        <f t="array" ref="H370">_xlfn.XLOOKUP(C370,customers!$A$1:$A$1001,customers!$G$1:$G$1001,customers!A369:H1342)</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7">
        <f t="shared" si="15"/>
        <v>63.249999999999993</v>
      </c>
      <c r="N370" t="str">
        <f t="shared" si="16"/>
        <v>Excelsa</v>
      </c>
      <c r="O370" t="str">
        <f t="shared" si="17"/>
        <v>Medium</v>
      </c>
      <c r="P370" t="str">
        <f>_xlfn.XLOOKUP(C370,customers!$A$1:$A$1001,customers!$I$1:$I$1001,0)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IF(_xlfn.XLOOKUP(C371,customers!$A$1:$A$1001,customers!$C$1:$C$1001,)=0,"",_xlfn.XLOOKUP(C371,customers!$A$1:$A$1001,customers!$C$1:$C$1001,))</f>
        <v/>
      </c>
      <c r="H371" s="2" t="str" cm="1">
        <f t="array" ref="H371">_xlfn.XLOOKUP(C371,customers!$A$1:$A$1001,customers!$G$1:$G$1001,customers!A370:H1343)</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7">
        <f t="shared" si="15"/>
        <v>8.91</v>
      </c>
      <c r="N371" t="str">
        <f t="shared" si="16"/>
        <v>Excelsa</v>
      </c>
      <c r="O371" t="str">
        <f t="shared" si="17"/>
        <v>Large</v>
      </c>
      <c r="P371" t="str">
        <f>_xlfn.XLOOKUP(C371,customers!$A$1:$A$1001,customers!$I$1:$I$1001,0)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IF(_xlfn.XLOOKUP(C372,customers!$A$1:$A$1001,customers!$C$1:$C$1001,)=0,"",_xlfn.XLOOKUP(C372,customers!$A$1:$A$1001,customers!$C$1:$C$1001,))</f>
        <v>ccatchesideaa@macromedia.com</v>
      </c>
      <c r="H372" s="2" t="str" cm="1">
        <f t="array" ref="H372">_xlfn.XLOOKUP(C372,customers!$A$1:$A$1001,customers!$G$1:$G$1001,customers!A371:H1344)</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7">
        <f t="shared" si="15"/>
        <v>24.3</v>
      </c>
      <c r="N372" t="str">
        <f t="shared" si="16"/>
        <v>Excelsa</v>
      </c>
      <c r="O372" t="str">
        <f t="shared" si="17"/>
        <v>Dark</v>
      </c>
      <c r="P372" t="str">
        <f>_xlfn.XLOOKUP(C372,customers!$A$1:$A$1001,customers!$I$1:$I$1001,0)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IF(_xlfn.XLOOKUP(C373,customers!$A$1:$A$1001,customers!$C$1:$C$1001,)=0,"",_xlfn.XLOOKUP(C373,customers!$A$1:$A$1001,customers!$C$1:$C$1001,))</f>
        <v>cgibbonsonab@accuweather.com</v>
      </c>
      <c r="H373" s="2" t="str" cm="1">
        <f t="array" ref="H373">_xlfn.XLOOKUP(C373,customers!$A$1:$A$1001,customers!$G$1:$G$1001,customers!A372:H1345)</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7">
        <f t="shared" si="15"/>
        <v>46.62</v>
      </c>
      <c r="N373" t="str">
        <f t="shared" si="16"/>
        <v>Arabic</v>
      </c>
      <c r="O373" t="str">
        <f t="shared" si="17"/>
        <v>Large</v>
      </c>
      <c r="P373" t="str">
        <f>_xlfn.XLOOKUP(C373,customers!$A$1:$A$1001,customers!$I$1:$I$1001,0)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IF(_xlfn.XLOOKUP(C374,customers!$A$1:$A$1001,customers!$C$1:$C$1001,)=0,"",_xlfn.XLOOKUP(C374,customers!$A$1:$A$1001,customers!$C$1:$C$1001,))</f>
        <v>tfarraac@behance.net</v>
      </c>
      <c r="H374" s="2" t="str" cm="1">
        <f t="array" ref="H374">_xlfn.XLOOKUP(C374,customers!$A$1:$A$1001,customers!$G$1:$G$1001,customers!A373:H1346)</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7">
        <f t="shared" si="15"/>
        <v>43.019999999999996</v>
      </c>
      <c r="N374" t="str">
        <f t="shared" si="16"/>
        <v>Robusta</v>
      </c>
      <c r="O374" t="str">
        <f t="shared" si="17"/>
        <v>Large</v>
      </c>
      <c r="P374" t="str">
        <f>_xlfn.XLOOKUP(C374,customers!$A$1:$A$1001,customers!$I$1:$I$1001,0)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IF(_xlfn.XLOOKUP(C375,customers!$A$1:$A$1001,customers!$C$1:$C$1001,)=0,"",_xlfn.XLOOKUP(C375,customers!$A$1:$A$1001,customers!$C$1:$C$1001,))</f>
        <v/>
      </c>
      <c r="H375" s="2" t="str" cm="1">
        <f t="array" ref="H375">_xlfn.XLOOKUP(C375,customers!$A$1:$A$1001,customers!$G$1:$G$1001,customers!A374:H1347)</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7">
        <f t="shared" si="15"/>
        <v>17.91</v>
      </c>
      <c r="N375" t="str">
        <f t="shared" si="16"/>
        <v>Arabic</v>
      </c>
      <c r="O375" t="str">
        <f t="shared" si="17"/>
        <v>Dark</v>
      </c>
      <c r="P375" t="str">
        <f>_xlfn.XLOOKUP(C375,customers!$A$1:$A$1001,customers!$I$1:$I$1001,0)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IF(_xlfn.XLOOKUP(C376,customers!$A$1:$A$1001,customers!$C$1:$C$1001,)=0,"",_xlfn.XLOOKUP(C376,customers!$A$1:$A$1001,customers!$C$1:$C$1001,))</f>
        <v>gbamfieldae@yellowpages.com</v>
      </c>
      <c r="H376" s="2" t="str" cm="1">
        <f t="array" ref="H376">_xlfn.XLOOKUP(C376,customers!$A$1:$A$1001,customers!$G$1:$G$1001,customers!A375:H1348)</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7">
        <f t="shared" si="15"/>
        <v>38.04</v>
      </c>
      <c r="N376" t="str">
        <f t="shared" si="16"/>
        <v>Librica</v>
      </c>
      <c r="O376" t="str">
        <f t="shared" si="17"/>
        <v>Large</v>
      </c>
      <c r="P376" t="str">
        <f>_xlfn.XLOOKUP(C376,customers!$A$1:$A$1001,customers!$I$1:$I$1001,0)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IF(_xlfn.XLOOKUP(C377,customers!$A$1:$A$1001,customers!$C$1:$C$1001,)=0,"",_xlfn.XLOOKUP(C377,customers!$A$1:$A$1001,customers!$C$1:$C$1001,))</f>
        <v>whollingdaleaf@about.me</v>
      </c>
      <c r="H377" s="2" t="str" cm="1">
        <f t="array" ref="H377">_xlfn.XLOOKUP(C377,customers!$A$1:$A$1001,customers!$G$1:$G$1001,customers!A376:H1349)</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7">
        <f t="shared" si="15"/>
        <v>6.75</v>
      </c>
      <c r="N377" t="str">
        <f t="shared" si="16"/>
        <v>Arabic</v>
      </c>
      <c r="O377" t="str">
        <f t="shared" si="17"/>
        <v>Medium</v>
      </c>
      <c r="P377" t="str">
        <f>_xlfn.XLOOKUP(C377,customers!$A$1:$A$1001,customers!$I$1:$I$1001,0)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IF(_xlfn.XLOOKUP(C378,customers!$A$1:$A$1001,customers!$C$1:$C$1001,)=0,"",_xlfn.XLOOKUP(C378,customers!$A$1:$A$1001,customers!$C$1:$C$1001,))</f>
        <v>jdeag@xrea.com</v>
      </c>
      <c r="H378" s="2" t="str" cm="1">
        <f t="array" ref="H378">_xlfn.XLOOKUP(C378,customers!$A$1:$A$1001,customers!$G$1:$G$1001,customers!A377:H1350)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7">
        <f t="shared" si="15"/>
        <v>5.97</v>
      </c>
      <c r="N378" t="str">
        <f t="shared" si="16"/>
        <v>Robusta</v>
      </c>
      <c r="O378" t="str">
        <f t="shared" si="17"/>
        <v>Medium</v>
      </c>
      <c r="P378" t="str">
        <f>_xlfn.XLOOKUP(C378,customers!$A$1:$A$1001,customers!$I$1:$I$1001,0)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IF(_xlfn.XLOOKUP(C379,customers!$A$1:$A$1001,customers!$C$1:$C$1001,)=0,"",_xlfn.XLOOKUP(C379,customers!$A$1:$A$1001,customers!$C$1:$C$1001,))</f>
        <v>vskulletah@tinyurl.com</v>
      </c>
      <c r="H379" s="2" t="str" cm="1">
        <f t="array" ref="H379">_xlfn.XLOOKUP(C379,customers!$A$1:$A$1001,customers!$G$1:$G$1001,customers!A378:H1351)</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7">
        <f t="shared" si="15"/>
        <v>8.0549999999999997</v>
      </c>
      <c r="N379" t="str">
        <f t="shared" si="16"/>
        <v>Robusta</v>
      </c>
      <c r="O379" t="str">
        <f t="shared" si="17"/>
        <v>Dark</v>
      </c>
      <c r="P379" t="str">
        <f>_xlfn.XLOOKUP(C379,customers!$A$1:$A$1001,customers!$I$1:$I$1001,0)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IF(_xlfn.XLOOKUP(C380,customers!$A$1:$A$1001,customers!$C$1:$C$1001,)=0,"",_xlfn.XLOOKUP(C380,customers!$A$1:$A$1001,customers!$C$1:$C$1001,))</f>
        <v>jrudeforthai@wunderground.com</v>
      </c>
      <c r="H380" s="2" t="str" cm="1">
        <f t="array" ref="H380">_xlfn.XLOOKUP(C380,customers!$A$1:$A$1001,customers!$G$1:$G$1001,customers!A379:H1352)</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7">
        <f t="shared" si="15"/>
        <v>23.31</v>
      </c>
      <c r="N380" t="str">
        <f t="shared" si="16"/>
        <v>Arabic</v>
      </c>
      <c r="O380" t="str">
        <f t="shared" si="17"/>
        <v>Large</v>
      </c>
      <c r="P380" t="str">
        <f>_xlfn.XLOOKUP(C380,customers!$A$1:$A$1001,customers!$I$1:$I$1001,0)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IF(_xlfn.XLOOKUP(C381,customers!$A$1:$A$1001,customers!$C$1:$C$1001,)=0,"",_xlfn.XLOOKUP(C381,customers!$A$1:$A$1001,customers!$C$1:$C$1001,))</f>
        <v>atomaszewskiaj@answers.com</v>
      </c>
      <c r="H381" s="2" t="str" cm="1">
        <f t="array" ref="H381">_xlfn.XLOOKUP(C381,customers!$A$1:$A$1001,customers!$G$1:$G$1001,customers!A380:H1353)</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7">
        <f t="shared" si="15"/>
        <v>43.019999999999996</v>
      </c>
      <c r="N381" t="str">
        <f t="shared" si="16"/>
        <v>Robusta</v>
      </c>
      <c r="O381" t="str">
        <f t="shared" si="17"/>
        <v>Large</v>
      </c>
      <c r="P381" t="str">
        <f>_xlfn.XLOOKUP(C381,customers!$A$1:$A$1001,customers!$I$1:$I$1001,0)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IF(_xlfn.XLOOKUP(C382,customers!$A$1:$A$1001,customers!$C$1:$C$1001,)=0,"",_xlfn.XLOOKUP(C382,customers!$A$1:$A$1001,customers!$C$1:$C$1001,))</f>
        <v/>
      </c>
      <c r="H382" s="2" t="str" cm="1">
        <f t="array" ref="H382">_xlfn.XLOOKUP(C382,customers!$A$1:$A$1001,customers!$G$1:$G$1001,customers!A381:H1354)</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7">
        <f t="shared" si="15"/>
        <v>23.31</v>
      </c>
      <c r="N382" t="str">
        <f t="shared" si="16"/>
        <v>Librica</v>
      </c>
      <c r="O382" t="str">
        <f t="shared" si="17"/>
        <v>Dark</v>
      </c>
      <c r="P382" t="str">
        <f>_xlfn.XLOOKUP(C382,customers!$A$1:$A$1001,customers!$I$1:$I$1001,0)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IF(_xlfn.XLOOKUP(C383,customers!$A$1:$A$1001,customers!$C$1:$C$1001,)=0,"",_xlfn.XLOOKUP(C383,customers!$A$1:$A$1001,customers!$C$1:$C$1001,))</f>
        <v>pbessal@qq.com</v>
      </c>
      <c r="H383" s="2" t="str" cm="1">
        <f t="array" ref="H383">_xlfn.XLOOKUP(C383,customers!$A$1:$A$1001,customers!$G$1:$G$1001,customers!A382:H1355)</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7">
        <f t="shared" si="15"/>
        <v>14.924999999999999</v>
      </c>
      <c r="N383" t="str">
        <f t="shared" si="16"/>
        <v>Arabic</v>
      </c>
      <c r="O383" t="str">
        <f t="shared" si="17"/>
        <v>Dark</v>
      </c>
      <c r="P383" t="str">
        <f>_xlfn.XLOOKUP(C383,customers!$A$1:$A$1001,customers!$I$1:$I$1001,0)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IF(_xlfn.XLOOKUP(C384,customers!$A$1:$A$1001,customers!$C$1:$C$1001,)=0,"",_xlfn.XLOOKUP(C384,customers!$A$1:$A$1001,customers!$C$1:$C$1001,))</f>
        <v>ewindressam@marketwatch.com</v>
      </c>
      <c r="H384" s="2" t="str" cm="1">
        <f t="array" ref="H384">_xlfn.XLOOKUP(C384,customers!$A$1:$A$1001,customers!$G$1:$G$1001,customers!A383:H1356)</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7">
        <f t="shared" si="15"/>
        <v>21.87</v>
      </c>
      <c r="N384" t="str">
        <f t="shared" si="16"/>
        <v>Excelsa</v>
      </c>
      <c r="O384" t="str">
        <f t="shared" si="17"/>
        <v>Dark</v>
      </c>
      <c r="P384" t="str">
        <f>_xlfn.XLOOKUP(C384,customers!$A$1:$A$1001,customers!$I$1:$I$1001,0)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IF(_xlfn.XLOOKUP(C385,customers!$A$1:$A$1001,customers!$C$1:$C$1001,)=0,"",_xlfn.XLOOKUP(C385,customers!$A$1:$A$1001,customers!$C$1:$C$1001,))</f>
        <v/>
      </c>
      <c r="H385" s="2" t="str" cm="1">
        <f t="array" ref="H385">_xlfn.XLOOKUP(C385,customers!$A$1:$A$1001,customers!$G$1:$G$1001,customers!A384:H1357)</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7">
        <f t="shared" si="15"/>
        <v>53.46</v>
      </c>
      <c r="N385" t="str">
        <f t="shared" si="16"/>
        <v>Excelsa</v>
      </c>
      <c r="O385" t="str">
        <f t="shared" si="17"/>
        <v>Large</v>
      </c>
      <c r="P385" t="str">
        <f>_xlfn.XLOOKUP(C385,customers!$A$1:$A$1001,customers!$I$1:$I$1001,0)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IF(_xlfn.XLOOKUP(C386,customers!$A$1:$A$1001,customers!$C$1:$C$1001,)=0,"",_xlfn.XLOOKUP(C386,customers!$A$1:$A$1001,customers!$C$1:$C$1001,))</f>
        <v/>
      </c>
      <c r="H386" s="2" t="str" cm="1">
        <f t="array" ref="H386">_xlfn.XLOOKUP(C386,customers!$A$1:$A$1001,customers!$G$1:$G$1001,customers!A385:H1358)</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7">
        <f t="shared" si="15"/>
        <v>119.13999999999999</v>
      </c>
      <c r="N386" t="str">
        <f t="shared" si="16"/>
        <v>Arabic</v>
      </c>
      <c r="O386" t="str">
        <f t="shared" si="17"/>
        <v>Large</v>
      </c>
      <c r="P386" t="str">
        <f>_xlfn.XLOOKUP(C386,customers!$A$1:$A$1001,customers!$I$1:$I$1001,0)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IF(_xlfn.XLOOKUP(C387,customers!$A$1:$A$1001,customers!$C$1:$C$1001,)=0,"",_xlfn.XLOOKUP(C387,customers!$A$1:$A$1001,customers!$C$1:$C$1001,))</f>
        <v>vbaumadierap@google.cn</v>
      </c>
      <c r="H387" s="2" t="str" cm="1">
        <f t="array" ref="H387">_xlfn.XLOOKUP(C387,customers!$A$1:$A$1001,customers!$G$1:$G$1001,customers!A386:H1359)</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7">
        <f t="shared" ref="M387:M450" si="18">L387*E387</f>
        <v>43.650000000000006</v>
      </c>
      <c r="N387" t="str">
        <f t="shared" ref="N387:N450" si="19">IF(I387="Rob","Robusta",IF(I387="Exc","Excelsa",IF(I387="Ara","Arabic",IF(I387="Lib","Librica"))))</f>
        <v>Librica</v>
      </c>
      <c r="O387" t="str">
        <f t="shared" ref="O387:O450" si="20">IF(J387="M","Medium",IF(J387="L","Large",IF(J387="D","Dark")))</f>
        <v>Medium</v>
      </c>
      <c r="P387" t="str">
        <f>_xlfn.XLOOKUP(C387,customers!$A$1:$A$1001,customers!$I$1:$I$1001,0)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IF(_xlfn.XLOOKUP(C388,customers!$A$1:$A$1001,customers!$C$1:$C$1001,)=0,"",_xlfn.XLOOKUP(C388,customers!$A$1:$A$1001,customers!$C$1:$C$1001,))</f>
        <v/>
      </c>
      <c r="H388" s="2" t="str" cm="1">
        <f t="array" ref="H388">_xlfn.XLOOKUP(C388,customers!$A$1:$A$1001,customers!$G$1:$G$1001,customers!A387:H1360)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7">
        <f t="shared" si="18"/>
        <v>17.91</v>
      </c>
      <c r="N388" t="str">
        <f t="shared" si="19"/>
        <v>Arabic</v>
      </c>
      <c r="O388" t="str">
        <f t="shared" si="20"/>
        <v>Dark</v>
      </c>
      <c r="P388" t="str">
        <f>_xlfn.XLOOKUP(C388,customers!$A$1:$A$1001,customers!$I$1:$I$1001,0)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IF(_xlfn.XLOOKUP(C389,customers!$A$1:$A$1001,customers!$C$1:$C$1001,)=0,"",_xlfn.XLOOKUP(C389,customers!$A$1:$A$1001,customers!$C$1:$C$1001,))</f>
        <v>sweldsar@wired.com</v>
      </c>
      <c r="H389" s="2" t="str" cm="1">
        <f t="array" ref="H389">_xlfn.XLOOKUP(C389,customers!$A$1:$A$1001,customers!$G$1:$G$1001,customers!A388:H1361)</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7">
        <f t="shared" si="18"/>
        <v>74.25</v>
      </c>
      <c r="N389" t="str">
        <f t="shared" si="19"/>
        <v>Excelsa</v>
      </c>
      <c r="O389" t="str">
        <f t="shared" si="20"/>
        <v>Large</v>
      </c>
      <c r="P389" t="str">
        <f>_xlfn.XLOOKUP(C389,customers!$A$1:$A$1001,customers!$I$1:$I$1001,0)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IF(_xlfn.XLOOKUP(C390,customers!$A$1:$A$1001,customers!$C$1:$C$1001,)=0,"",_xlfn.XLOOKUP(C390,customers!$A$1:$A$1001,customers!$C$1:$C$1001,))</f>
        <v>msarvaras@artisteer.com</v>
      </c>
      <c r="H390" s="2" t="str" cm="1">
        <f t="array" ref="H390">_xlfn.XLOOKUP(C390,customers!$A$1:$A$1001,customers!$G$1:$G$1001,customers!A389:H1362)</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7">
        <f t="shared" si="18"/>
        <v>11.654999999999999</v>
      </c>
      <c r="N390" t="str">
        <f t="shared" si="19"/>
        <v>Librica</v>
      </c>
      <c r="O390" t="str">
        <f t="shared" si="20"/>
        <v>Dark</v>
      </c>
      <c r="P390" t="str">
        <f>_xlfn.XLOOKUP(C390,customers!$A$1:$A$1001,customers!$I$1:$I$1001,0)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IF(_xlfn.XLOOKUP(C391,customers!$A$1:$A$1001,customers!$C$1:$C$1001,)=0,"",_xlfn.XLOOKUP(C391,customers!$A$1:$A$1001,customers!$C$1:$C$1001,))</f>
        <v>ahavickat@nsw.gov.au</v>
      </c>
      <c r="H391" s="2" t="str" cm="1">
        <f t="array" ref="H391">_xlfn.XLOOKUP(C391,customers!$A$1:$A$1001,customers!$G$1:$G$1001,customers!A390:H1363)</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7">
        <f t="shared" si="18"/>
        <v>23.31</v>
      </c>
      <c r="N391" t="str">
        <f t="shared" si="19"/>
        <v>Librica</v>
      </c>
      <c r="O391" t="str">
        <f t="shared" si="20"/>
        <v>Dark</v>
      </c>
      <c r="P391" t="str">
        <f>_xlfn.XLOOKUP(C391,customers!$A$1:$A$1001,customers!$I$1:$I$1001,0)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IF(_xlfn.XLOOKUP(C392,customers!$A$1:$A$1001,customers!$C$1:$C$1001,)=0,"",_xlfn.XLOOKUP(C392,customers!$A$1:$A$1001,customers!$C$1:$C$1001,))</f>
        <v>sdivinyau@ask.com</v>
      </c>
      <c r="H392" s="2" t="str" cm="1">
        <f t="array" ref="H392">_xlfn.XLOOKUP(C392,customers!$A$1:$A$1001,customers!$G$1:$G$1001,customers!A391:H1364)</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7">
        <f t="shared" si="18"/>
        <v>14.58</v>
      </c>
      <c r="N392" t="str">
        <f t="shared" si="19"/>
        <v>Excelsa</v>
      </c>
      <c r="O392" t="str">
        <f t="shared" si="20"/>
        <v>Dark</v>
      </c>
      <c r="P392" t="str">
        <f>_xlfn.XLOOKUP(C392,customers!$A$1:$A$1001,customers!$I$1:$I$1001,0)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IF(_xlfn.XLOOKUP(C393,customers!$A$1:$A$1001,customers!$C$1:$C$1001,)=0,"",_xlfn.XLOOKUP(C393,customers!$A$1:$A$1001,customers!$C$1:$C$1001,))</f>
        <v>inorquoyav@businessweek.com</v>
      </c>
      <c r="H393" s="2" t="str" cm="1">
        <f t="array" ref="H393">_xlfn.XLOOKUP(C393,customers!$A$1:$A$1001,customers!$G$1:$G$1001,customers!A392:H1365)</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7">
        <f t="shared" si="18"/>
        <v>13.5</v>
      </c>
      <c r="N393" t="str">
        <f t="shared" si="19"/>
        <v>Arabic</v>
      </c>
      <c r="O393" t="str">
        <f t="shared" si="20"/>
        <v>Medium</v>
      </c>
      <c r="P393" t="str">
        <f>_xlfn.XLOOKUP(C393,customers!$A$1:$A$1001,customers!$I$1:$I$1001,0)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IF(_xlfn.XLOOKUP(C394,customers!$A$1:$A$1001,customers!$C$1:$C$1001,)=0,"",_xlfn.XLOOKUP(C394,customers!$A$1:$A$1001,customers!$C$1:$C$1001,))</f>
        <v>aiddisonaw@usa.gov</v>
      </c>
      <c r="H394" s="2" t="str" cm="1">
        <f t="array" ref="H394">_xlfn.XLOOKUP(C394,customers!$A$1:$A$1001,customers!$G$1:$G$1001,customers!A393:H1366)</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7">
        <f t="shared" si="18"/>
        <v>89.1</v>
      </c>
      <c r="N394" t="str">
        <f t="shared" si="19"/>
        <v>Excelsa</v>
      </c>
      <c r="O394" t="str">
        <f t="shared" si="20"/>
        <v>Large</v>
      </c>
      <c r="P394" t="str">
        <f>_xlfn.XLOOKUP(C394,customers!$A$1:$A$1001,customers!$I$1:$I$1001,0)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IF(_xlfn.XLOOKUP(C395,customers!$A$1:$A$1001,customers!$C$1:$C$1001,)=0,"",_xlfn.XLOOKUP(C395,customers!$A$1:$A$1001,customers!$C$1:$C$1001,))</f>
        <v>aiddisonaw@usa.gov</v>
      </c>
      <c r="H395" s="2" t="str" cm="1">
        <f t="array" ref="H395">_xlfn.XLOOKUP(C395,customers!$A$1:$A$1001,customers!$G$1:$G$1001,customers!A394:H1367)</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7">
        <f t="shared" si="18"/>
        <v>3.8849999999999998</v>
      </c>
      <c r="N395" t="str">
        <f t="shared" si="19"/>
        <v>Arabic</v>
      </c>
      <c r="O395" t="str">
        <f t="shared" si="20"/>
        <v>Large</v>
      </c>
      <c r="P395" t="str">
        <f>_xlfn.XLOOKUP(C395,customers!$A$1:$A$1001,customers!$I$1:$I$1001,0)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IF(_xlfn.XLOOKUP(C396,customers!$A$1:$A$1001,customers!$C$1:$C$1001,)=0,"",_xlfn.XLOOKUP(C396,customers!$A$1:$A$1001,customers!$C$1:$C$1001,))</f>
        <v>rlongfielday@bluehost.com</v>
      </c>
      <c r="H396" s="2" t="str" cm="1">
        <f t="array" ref="H396">_xlfn.XLOOKUP(C396,customers!$A$1:$A$1001,customers!$G$1:$G$1001,customers!A395:H1368)</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7">
        <f t="shared" si="18"/>
        <v>109.93999999999998</v>
      </c>
      <c r="N396" t="str">
        <f t="shared" si="19"/>
        <v>Robusta</v>
      </c>
      <c r="O396" t="str">
        <f t="shared" si="20"/>
        <v>Large</v>
      </c>
      <c r="P396" t="str">
        <f>_xlfn.XLOOKUP(C396,customers!$A$1:$A$1001,customers!$I$1:$I$1001,0)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IF(_xlfn.XLOOKUP(C397,customers!$A$1:$A$1001,customers!$C$1:$C$1001,)=0,"",_xlfn.XLOOKUP(C397,customers!$A$1:$A$1001,customers!$C$1:$C$1001,))</f>
        <v>gkislingburyaz@samsung.com</v>
      </c>
      <c r="H397" s="2" t="str" cm="1">
        <f t="array" ref="H397">_xlfn.XLOOKUP(C397,customers!$A$1:$A$1001,customers!$G$1:$G$1001,customers!A396:H1369)</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7">
        <f t="shared" si="18"/>
        <v>46.62</v>
      </c>
      <c r="N397" t="str">
        <f t="shared" si="19"/>
        <v>Librica</v>
      </c>
      <c r="O397" t="str">
        <f t="shared" si="20"/>
        <v>Dark</v>
      </c>
      <c r="P397" t="str">
        <f>_xlfn.XLOOKUP(C397,customers!$A$1:$A$1001,customers!$I$1:$I$1001,0)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IF(_xlfn.XLOOKUP(C398,customers!$A$1:$A$1001,customers!$C$1:$C$1001,)=0,"",_xlfn.XLOOKUP(C398,customers!$A$1:$A$1001,customers!$C$1:$C$1001,))</f>
        <v>xgibbonsb0@artisteer.com</v>
      </c>
      <c r="H398" s="2" t="str" cm="1">
        <f t="array" ref="H398">_xlfn.XLOOKUP(C398,customers!$A$1:$A$1001,customers!$G$1:$G$1001,customers!A397:H1370)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7">
        <f t="shared" si="18"/>
        <v>38.849999999999994</v>
      </c>
      <c r="N398" t="str">
        <f t="shared" si="19"/>
        <v>Arabic</v>
      </c>
      <c r="O398" t="str">
        <f t="shared" si="20"/>
        <v>Large</v>
      </c>
      <c r="P398" t="str">
        <f>_xlfn.XLOOKUP(C398,customers!$A$1:$A$1001,customers!$I$1:$I$1001,0)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IF(_xlfn.XLOOKUP(C399,customers!$A$1:$A$1001,customers!$C$1:$C$1001,)=0,"",_xlfn.XLOOKUP(C399,customers!$A$1:$A$1001,customers!$C$1:$C$1001,))</f>
        <v>fparresb1@imageshack.us</v>
      </c>
      <c r="H399" s="2" t="str" cm="1">
        <f t="array" ref="H399">_xlfn.XLOOKUP(C399,customers!$A$1:$A$1001,customers!$G$1:$G$1001,customers!A398:H1371)</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7">
        <f t="shared" si="18"/>
        <v>31.08</v>
      </c>
      <c r="N399" t="str">
        <f t="shared" si="19"/>
        <v>Librica</v>
      </c>
      <c r="O399" t="str">
        <f t="shared" si="20"/>
        <v>Dark</v>
      </c>
      <c r="P399" t="str">
        <f>_xlfn.XLOOKUP(C399,customers!$A$1:$A$1001,customers!$I$1:$I$1001,0)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IF(_xlfn.XLOOKUP(C400,customers!$A$1:$A$1001,customers!$C$1:$C$1001,)=0,"",_xlfn.XLOOKUP(C400,customers!$A$1:$A$1001,customers!$C$1:$C$1001,))</f>
        <v>gsibrayb2@wsj.com</v>
      </c>
      <c r="H400" s="2" t="str" cm="1">
        <f t="array" ref="H400">_xlfn.XLOOKUP(C400,customers!$A$1:$A$1001,customers!$G$1:$G$1001,customers!A399:H1372)</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7">
        <f t="shared" si="18"/>
        <v>17.91</v>
      </c>
      <c r="N400" t="str">
        <f t="shared" si="19"/>
        <v>Arabic</v>
      </c>
      <c r="O400" t="str">
        <f t="shared" si="20"/>
        <v>Dark</v>
      </c>
      <c r="P400" t="str">
        <f>_xlfn.XLOOKUP(C400,customers!$A$1:$A$1001,customers!$I$1:$I$1001,0)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IF(_xlfn.XLOOKUP(C401,customers!$A$1:$A$1001,customers!$C$1:$C$1001,)=0,"",_xlfn.XLOOKUP(C401,customers!$A$1:$A$1001,customers!$C$1:$C$1001,))</f>
        <v>ihotchkinb3@mit.edu</v>
      </c>
      <c r="H401" s="2" t="str" cm="1">
        <f t="array" ref="H401">_xlfn.XLOOKUP(C401,customers!$A$1:$A$1001,customers!$G$1:$G$1001,customers!A400:H1373)</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7">
        <f t="shared" si="18"/>
        <v>167.67000000000002</v>
      </c>
      <c r="N401" t="str">
        <f t="shared" si="19"/>
        <v>Excelsa</v>
      </c>
      <c r="O401" t="str">
        <f t="shared" si="20"/>
        <v>Dark</v>
      </c>
      <c r="P401" t="str">
        <f>_xlfn.XLOOKUP(C401,customers!$A$1:$A$1001,customers!$I$1:$I$1001,0)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IF(_xlfn.XLOOKUP(C402,customers!$A$1:$A$1001,customers!$C$1:$C$1001,)=0,"",_xlfn.XLOOKUP(C402,customers!$A$1:$A$1001,customers!$C$1:$C$1001,))</f>
        <v>nbroadberrieb4@gnu.org</v>
      </c>
      <c r="H402" s="2" t="str" cm="1">
        <f t="array" ref="H402">_xlfn.XLOOKUP(C402,customers!$A$1:$A$1001,customers!$G$1:$G$1001,customers!A401:H1374)</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7">
        <f t="shared" si="18"/>
        <v>63.4</v>
      </c>
      <c r="N402" t="str">
        <f t="shared" si="19"/>
        <v>Librica</v>
      </c>
      <c r="O402" t="str">
        <f t="shared" si="20"/>
        <v>Large</v>
      </c>
      <c r="P402" t="str">
        <f>_xlfn.XLOOKUP(C402,customers!$A$1:$A$1001,customers!$I$1:$I$1001,0)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IF(_xlfn.XLOOKUP(C403,customers!$A$1:$A$1001,customers!$C$1:$C$1001,)=0,"",_xlfn.XLOOKUP(C403,customers!$A$1:$A$1001,customers!$C$1:$C$1001,))</f>
        <v>rpithcockb5@yellowbook.com</v>
      </c>
      <c r="H403" s="2" t="str" cm="1">
        <f t="array" ref="H403">_xlfn.XLOOKUP(C403,customers!$A$1:$A$1001,customers!$G$1:$G$1001,customers!A402:H1375)</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7">
        <f t="shared" si="18"/>
        <v>8.73</v>
      </c>
      <c r="N403" t="str">
        <f t="shared" si="19"/>
        <v>Librica</v>
      </c>
      <c r="O403" t="str">
        <f t="shared" si="20"/>
        <v>Medium</v>
      </c>
      <c r="P403" t="str">
        <f>_xlfn.XLOOKUP(C403,customers!$A$1:$A$1001,customers!$I$1:$I$1001,0)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IF(_xlfn.XLOOKUP(C404,customers!$A$1:$A$1001,customers!$C$1:$C$1001,)=0,"",_xlfn.XLOOKUP(C404,customers!$A$1:$A$1001,customers!$C$1:$C$1001,))</f>
        <v>gcroysdaleb6@nih.gov</v>
      </c>
      <c r="H404" s="2" t="str" cm="1">
        <f t="array" ref="H404">_xlfn.XLOOKUP(C404,customers!$A$1:$A$1001,customers!$G$1:$G$1001,customers!A403:H1376)</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7">
        <f t="shared" si="18"/>
        <v>26.849999999999998</v>
      </c>
      <c r="N404" t="str">
        <f t="shared" si="19"/>
        <v>Robusta</v>
      </c>
      <c r="O404" t="str">
        <f t="shared" si="20"/>
        <v>Dark</v>
      </c>
      <c r="P404" t="str">
        <f>_xlfn.XLOOKUP(C404,customers!$A$1:$A$1001,customers!$I$1:$I$1001,0)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IF(_xlfn.XLOOKUP(C405,customers!$A$1:$A$1001,customers!$C$1:$C$1001,)=0,"",_xlfn.XLOOKUP(C405,customers!$A$1:$A$1001,customers!$C$1:$C$1001,))</f>
        <v>bgozzettb7@github.com</v>
      </c>
      <c r="H405" s="2" t="str" cm="1">
        <f t="array" ref="H405">_xlfn.XLOOKUP(C405,customers!$A$1:$A$1001,customers!$G$1:$G$1001,customers!A404:H1377)</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7">
        <f t="shared" si="18"/>
        <v>9.51</v>
      </c>
      <c r="N405" t="str">
        <f t="shared" si="19"/>
        <v>Librica</v>
      </c>
      <c r="O405" t="str">
        <f t="shared" si="20"/>
        <v>Large</v>
      </c>
      <c r="P405" t="str">
        <f>_xlfn.XLOOKUP(C405,customers!$A$1:$A$1001,customers!$I$1:$I$1001,0)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IF(_xlfn.XLOOKUP(C406,customers!$A$1:$A$1001,customers!$C$1:$C$1001,)=0,"",_xlfn.XLOOKUP(C406,customers!$A$1:$A$1001,customers!$C$1:$C$1001,))</f>
        <v>tcraggsb8@house.gov</v>
      </c>
      <c r="H406" s="2" t="str" cm="1">
        <f t="array" ref="H406">_xlfn.XLOOKUP(C406,customers!$A$1:$A$1001,customers!$G$1:$G$1001,customers!A405:H1378)</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7">
        <f t="shared" si="18"/>
        <v>39.799999999999997</v>
      </c>
      <c r="N406" t="str">
        <f t="shared" si="19"/>
        <v>Arabic</v>
      </c>
      <c r="O406" t="str">
        <f t="shared" si="20"/>
        <v>Dark</v>
      </c>
      <c r="P406" t="str">
        <f>_xlfn.XLOOKUP(C406,customers!$A$1:$A$1001,customers!$I$1:$I$1001,0)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IF(_xlfn.XLOOKUP(C407,customers!$A$1:$A$1001,customers!$C$1:$C$1001,)=0,"",_xlfn.XLOOKUP(C407,customers!$A$1:$A$1001,customers!$C$1:$C$1001,))</f>
        <v>lcullrfordb9@xing.com</v>
      </c>
      <c r="H407" s="2" t="str" cm="1">
        <f t="array" ref="H407">_xlfn.XLOOKUP(C407,customers!$A$1:$A$1001,customers!$G$1:$G$1001,customers!A406:H1379)</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7">
        <f t="shared" si="18"/>
        <v>24.75</v>
      </c>
      <c r="N407" t="str">
        <f t="shared" si="19"/>
        <v>Excelsa</v>
      </c>
      <c r="O407" t="str">
        <f t="shared" si="20"/>
        <v>Medium</v>
      </c>
      <c r="P407" t="str">
        <f>_xlfn.XLOOKUP(C407,customers!$A$1:$A$1001,customers!$I$1:$I$1001,0)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IF(_xlfn.XLOOKUP(C408,customers!$A$1:$A$1001,customers!$C$1:$C$1001,)=0,"",_xlfn.XLOOKUP(C408,customers!$A$1:$A$1001,customers!$C$1:$C$1001,))</f>
        <v>arizonba@xing.com</v>
      </c>
      <c r="H408" s="2" t="str" cm="1">
        <f t="array" ref="H408">_xlfn.XLOOKUP(C408,customers!$A$1:$A$1001,customers!$G$1:$G$1001,customers!A407:H1380)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7">
        <f t="shared" si="18"/>
        <v>68.75</v>
      </c>
      <c r="N408" t="str">
        <f t="shared" si="19"/>
        <v>Excelsa</v>
      </c>
      <c r="O408" t="str">
        <f t="shared" si="20"/>
        <v>Medium</v>
      </c>
      <c r="P408" t="str">
        <f>_xlfn.XLOOKUP(C408,customers!$A$1:$A$1001,customers!$I$1:$I$1001,0)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IF(_xlfn.XLOOKUP(C409,customers!$A$1:$A$1001,customers!$C$1:$C$1001,)=0,"",_xlfn.XLOOKUP(C409,customers!$A$1:$A$1001,customers!$C$1:$C$1001,))</f>
        <v/>
      </c>
      <c r="H409" s="2" t="str" cm="1">
        <f t="array" ref="H409">_xlfn.XLOOKUP(C409,customers!$A$1:$A$1001,customers!$G$1:$G$1001,customers!A408:H1381)</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7">
        <f t="shared" si="18"/>
        <v>49.5</v>
      </c>
      <c r="N409" t="str">
        <f t="shared" si="19"/>
        <v>Excelsa</v>
      </c>
      <c r="O409" t="str">
        <f t="shared" si="20"/>
        <v>Medium</v>
      </c>
      <c r="P409" t="str">
        <f>_xlfn.XLOOKUP(C409,customers!$A$1:$A$1001,customers!$I$1:$I$1001,0)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IF(_xlfn.XLOOKUP(C410,customers!$A$1:$A$1001,customers!$C$1:$C$1001,)=0,"",_xlfn.XLOOKUP(C410,customers!$A$1:$A$1001,customers!$C$1:$C$1001,))</f>
        <v>fmiellbc@spiegel.de</v>
      </c>
      <c r="H410" s="2" t="str" cm="1">
        <f t="array" ref="H410">_xlfn.XLOOKUP(C410,customers!$A$1:$A$1001,customers!$G$1:$G$1001,customers!A409:H1382)</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7">
        <f t="shared" si="18"/>
        <v>51.749999999999993</v>
      </c>
      <c r="N410" t="str">
        <f t="shared" si="19"/>
        <v>Arabic</v>
      </c>
      <c r="O410" t="str">
        <f t="shared" si="20"/>
        <v>Medium</v>
      </c>
      <c r="P410" t="str">
        <f>_xlfn.XLOOKUP(C410,customers!$A$1:$A$1001,customers!$I$1:$I$1001,0)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IF(_xlfn.XLOOKUP(C411,customers!$A$1:$A$1001,customers!$C$1:$C$1001,)=0,"",_xlfn.XLOOKUP(C411,customers!$A$1:$A$1001,customers!$C$1:$C$1001,))</f>
        <v/>
      </c>
      <c r="H411" s="2" t="str" cm="1">
        <f t="array" ref="H411">_xlfn.XLOOKUP(C411,customers!$A$1:$A$1001,customers!$G$1:$G$1001,customers!A410:H1383)</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7">
        <f t="shared" si="18"/>
        <v>47.55</v>
      </c>
      <c r="N411" t="str">
        <f t="shared" si="19"/>
        <v>Librica</v>
      </c>
      <c r="O411" t="str">
        <f t="shared" si="20"/>
        <v>Large</v>
      </c>
      <c r="P411" t="str">
        <f>_xlfn.XLOOKUP(C411,customers!$A$1:$A$1001,customers!$I$1:$I$1001,0)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IF(_xlfn.XLOOKUP(C412,customers!$A$1:$A$1001,customers!$C$1:$C$1001,)=0,"",_xlfn.XLOOKUP(C412,customers!$A$1:$A$1001,customers!$C$1:$C$1001,))</f>
        <v/>
      </c>
      <c r="H412" s="2" t="str" cm="1">
        <f t="array" ref="H412">_xlfn.XLOOKUP(C412,customers!$A$1:$A$1001,customers!$G$1:$G$1001,customers!A411:H1384)</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7">
        <f t="shared" si="18"/>
        <v>15.54</v>
      </c>
      <c r="N412" t="str">
        <f t="shared" si="19"/>
        <v>Arabic</v>
      </c>
      <c r="O412" t="str">
        <f t="shared" si="20"/>
        <v>Large</v>
      </c>
      <c r="P412" t="str">
        <f>_xlfn.XLOOKUP(C412,customers!$A$1:$A$1001,customers!$I$1:$I$1001,0)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IF(_xlfn.XLOOKUP(C413,customers!$A$1:$A$1001,customers!$C$1:$C$1001,)=0,"",_xlfn.XLOOKUP(C413,customers!$A$1:$A$1001,customers!$C$1:$C$1001,))</f>
        <v/>
      </c>
      <c r="H413" s="2" t="str" cm="1">
        <f t="array" ref="H413">_xlfn.XLOOKUP(C413,customers!$A$1:$A$1001,customers!$G$1:$G$1001,customers!A412:H1385)</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7">
        <f t="shared" si="18"/>
        <v>87.300000000000011</v>
      </c>
      <c r="N413" t="str">
        <f t="shared" si="19"/>
        <v>Librica</v>
      </c>
      <c r="O413" t="str">
        <f t="shared" si="20"/>
        <v>Medium</v>
      </c>
      <c r="P413" t="str">
        <f>_xlfn.XLOOKUP(C413,customers!$A$1:$A$1001,customers!$I$1:$I$1001,0)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IF(_xlfn.XLOOKUP(C414,customers!$A$1:$A$1001,customers!$C$1:$C$1001,)=0,"",_xlfn.XLOOKUP(C414,customers!$A$1:$A$1001,customers!$C$1:$C$1001,))</f>
        <v/>
      </c>
      <c r="H414" s="2" t="str" cm="1">
        <f t="array" ref="H414">_xlfn.XLOOKUP(C414,customers!$A$1:$A$1001,customers!$G$1:$G$1001,customers!A413:H1386)</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7">
        <f t="shared" si="18"/>
        <v>56.25</v>
      </c>
      <c r="N414" t="str">
        <f t="shared" si="19"/>
        <v>Arabic</v>
      </c>
      <c r="O414" t="str">
        <f t="shared" si="20"/>
        <v>Medium</v>
      </c>
      <c r="P414" t="str">
        <f>_xlfn.XLOOKUP(C414,customers!$A$1:$A$1001,customers!$I$1:$I$1001,0)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IF(_xlfn.XLOOKUP(C415,customers!$A$1:$A$1001,customers!$C$1:$C$1001,)=0,"",_xlfn.XLOOKUP(C415,customers!$A$1:$A$1001,customers!$C$1:$C$1001,))</f>
        <v>wspringallbh@jugem.jp</v>
      </c>
      <c r="H415" s="2" t="str" cm="1">
        <f t="array" ref="H415">_xlfn.XLOOKUP(C415,customers!$A$1:$A$1001,customers!$G$1:$G$1001,customers!A414:H1387)</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7">
        <f t="shared" si="18"/>
        <v>36.454999999999998</v>
      </c>
      <c r="N415" t="str">
        <f t="shared" si="19"/>
        <v>Librica</v>
      </c>
      <c r="O415" t="str">
        <f t="shared" si="20"/>
        <v>Large</v>
      </c>
      <c r="P415" t="str">
        <f>_xlfn.XLOOKUP(C415,customers!$A$1:$A$1001,customers!$I$1:$I$1001,0)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IF(_xlfn.XLOOKUP(C416,customers!$A$1:$A$1001,customers!$C$1:$C$1001,)=0,"",_xlfn.XLOOKUP(C416,customers!$A$1:$A$1001,customers!$C$1:$C$1001,))</f>
        <v/>
      </c>
      <c r="H416" s="2" t="str" cm="1">
        <f t="array" ref="H416">_xlfn.XLOOKUP(C416,customers!$A$1:$A$1001,customers!$G$1:$G$1001,customers!A415:H1388)</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7">
        <f t="shared" si="18"/>
        <v>10.754999999999999</v>
      </c>
      <c r="N416" t="str">
        <f t="shared" si="19"/>
        <v>Robusta</v>
      </c>
      <c r="O416" t="str">
        <f t="shared" si="20"/>
        <v>Large</v>
      </c>
      <c r="P416" t="str">
        <f>_xlfn.XLOOKUP(C416,customers!$A$1:$A$1001,customers!$I$1:$I$1001,0)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IF(_xlfn.XLOOKUP(C417,customers!$A$1:$A$1001,customers!$C$1:$C$1001,)=0,"",_xlfn.XLOOKUP(C417,customers!$A$1:$A$1001,customers!$C$1:$C$1001,))</f>
        <v>ghawkyensbj@census.gov</v>
      </c>
      <c r="H417" s="2" t="str" cm="1">
        <f t="array" ref="H417">_xlfn.XLOOKUP(C417,customers!$A$1:$A$1001,customers!$G$1:$G$1001,customers!A416:H1389)</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7">
        <f t="shared" si="18"/>
        <v>8.9550000000000001</v>
      </c>
      <c r="N417" t="str">
        <f t="shared" si="19"/>
        <v>Robusta</v>
      </c>
      <c r="O417" t="str">
        <f t="shared" si="20"/>
        <v>Medium</v>
      </c>
      <c r="P417" t="str">
        <f>_xlfn.XLOOKUP(C417,customers!$A$1:$A$1001,customers!$I$1:$I$1001,0)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IF(_xlfn.XLOOKUP(C418,customers!$A$1:$A$1001,customers!$C$1:$C$1001,)=0,"",_xlfn.XLOOKUP(C418,customers!$A$1:$A$1001,customers!$C$1:$C$1001,))</f>
        <v/>
      </c>
      <c r="H418" s="2" t="str" cm="1">
        <f t="array" ref="H418">_xlfn.XLOOKUP(C418,customers!$A$1:$A$1001,customers!$G$1:$G$1001,customers!A417:H1390)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7">
        <f t="shared" si="18"/>
        <v>23.31</v>
      </c>
      <c r="N418" t="str">
        <f t="shared" si="19"/>
        <v>Arabic</v>
      </c>
      <c r="O418" t="str">
        <f t="shared" si="20"/>
        <v>Large</v>
      </c>
      <c r="P418" t="str">
        <f>_xlfn.XLOOKUP(C418,customers!$A$1:$A$1001,customers!$I$1:$I$1001,0)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IF(_xlfn.XLOOKUP(C419,customers!$A$1:$A$1001,customers!$C$1:$C$1001,)=0,"",_xlfn.XLOOKUP(C419,customers!$A$1:$A$1001,customers!$C$1:$C$1001,))</f>
        <v/>
      </c>
      <c r="H419" s="2" t="str" cm="1">
        <f t="array" ref="H419">_xlfn.XLOOKUP(C419,customers!$A$1:$A$1001,customers!$G$1:$G$1001,customers!A418:H1391)</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7">
        <f t="shared" si="18"/>
        <v>29.784999999999997</v>
      </c>
      <c r="N419" t="str">
        <f t="shared" si="19"/>
        <v>Arabic</v>
      </c>
      <c r="O419" t="str">
        <f t="shared" si="20"/>
        <v>Large</v>
      </c>
      <c r="P419" t="str">
        <f>_xlfn.XLOOKUP(C419,customers!$A$1:$A$1001,customers!$I$1:$I$1001,0)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IF(_xlfn.XLOOKUP(C420,customers!$A$1:$A$1001,customers!$C$1:$C$1001,)=0,"",_xlfn.XLOOKUP(C420,customers!$A$1:$A$1001,customers!$C$1:$C$1001,))</f>
        <v>bmcgilvrabm@so-net.ne.jp</v>
      </c>
      <c r="H420" s="2" t="str" cm="1">
        <f t="array" ref="H420">_xlfn.XLOOKUP(C420,customers!$A$1:$A$1001,customers!$G$1:$G$1001,customers!A419:H1392)</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7">
        <f t="shared" si="18"/>
        <v>148.92499999999998</v>
      </c>
      <c r="N420" t="str">
        <f t="shared" si="19"/>
        <v>Arabic</v>
      </c>
      <c r="O420" t="str">
        <f t="shared" si="20"/>
        <v>Large</v>
      </c>
      <c r="P420" t="str">
        <f>_xlfn.XLOOKUP(C420,customers!$A$1:$A$1001,customers!$I$1:$I$1001,0)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IF(_xlfn.XLOOKUP(C421,customers!$A$1:$A$1001,customers!$C$1:$C$1001,)=0,"",_xlfn.XLOOKUP(C421,customers!$A$1:$A$1001,customers!$C$1:$C$1001,))</f>
        <v>adanzeybn@github.com</v>
      </c>
      <c r="H421" s="2" t="str" cm="1">
        <f t="array" ref="H421">_xlfn.XLOOKUP(C421,customers!$A$1:$A$1001,customers!$G$1:$G$1001,customers!A420:H1393)</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7">
        <f t="shared" si="18"/>
        <v>8.73</v>
      </c>
      <c r="N421" t="str">
        <f t="shared" si="19"/>
        <v>Librica</v>
      </c>
      <c r="O421" t="str">
        <f t="shared" si="20"/>
        <v>Medium</v>
      </c>
      <c r="P421" t="str">
        <f>_xlfn.XLOOKUP(C421,customers!$A$1:$A$1001,customers!$I$1:$I$1001,0)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IF(_xlfn.XLOOKUP(C422,customers!$A$1:$A$1001,customers!$C$1:$C$1001,)=0,"",_xlfn.XLOOKUP(C422,customers!$A$1:$A$1001,customers!$C$1:$C$1001,))</f>
        <v>tfarraac@behance.net</v>
      </c>
      <c r="H422" s="2" t="str" cm="1">
        <f t="array" ref="H422">_xlfn.XLOOKUP(C422,customers!$A$1:$A$1001,customers!$G$1:$G$1001,customers!A421:H1394)</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7">
        <f t="shared" si="18"/>
        <v>31.08</v>
      </c>
      <c r="N422" t="str">
        <f t="shared" si="19"/>
        <v>Librica</v>
      </c>
      <c r="O422" t="str">
        <f t="shared" si="20"/>
        <v>Dark</v>
      </c>
      <c r="P422" t="str">
        <f>_xlfn.XLOOKUP(C422,customers!$A$1:$A$1001,customers!$I$1:$I$1001,0)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IF(_xlfn.XLOOKUP(C423,customers!$A$1:$A$1001,customers!$C$1:$C$1001,)=0,"",_xlfn.XLOOKUP(C423,customers!$A$1:$A$1001,customers!$C$1:$C$1001,))</f>
        <v>tfarraac@behance.net</v>
      </c>
      <c r="H423" s="2" t="str" cm="1">
        <f t="array" ref="H423">_xlfn.XLOOKUP(C423,customers!$A$1:$A$1001,customers!$G$1:$G$1001,customers!A422:H1395)</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7">
        <f t="shared" si="18"/>
        <v>137.31</v>
      </c>
      <c r="N423" t="str">
        <f t="shared" si="19"/>
        <v>Arabic</v>
      </c>
      <c r="O423" t="str">
        <f t="shared" si="20"/>
        <v>Dark</v>
      </c>
      <c r="P423" t="str">
        <f>_xlfn.XLOOKUP(C423,customers!$A$1:$A$1001,customers!$I$1:$I$1001,0)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IF(_xlfn.XLOOKUP(C424,customers!$A$1:$A$1001,customers!$C$1:$C$1001,)=0,"",_xlfn.XLOOKUP(C424,customers!$A$1:$A$1001,customers!$C$1:$C$1001,))</f>
        <v/>
      </c>
      <c r="H424" s="2" t="str" cm="1">
        <f t="array" ref="H424">_xlfn.XLOOKUP(C424,customers!$A$1:$A$1001,customers!$G$1:$G$1001,customers!A423:H1396)</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7">
        <f t="shared" si="18"/>
        <v>29.849999999999998</v>
      </c>
      <c r="N424" t="str">
        <f t="shared" si="19"/>
        <v>Arabic</v>
      </c>
      <c r="O424" t="str">
        <f t="shared" si="20"/>
        <v>Dark</v>
      </c>
      <c r="P424" t="str">
        <f>_xlfn.XLOOKUP(C424,customers!$A$1:$A$1001,customers!$I$1:$I$1001,0)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IF(_xlfn.XLOOKUP(C425,customers!$A$1:$A$1001,customers!$C$1:$C$1001,)=0,"",_xlfn.XLOOKUP(C425,customers!$A$1:$A$1001,customers!$C$1:$C$1001,))</f>
        <v/>
      </c>
      <c r="H425" s="2" t="str" cm="1">
        <f t="array" ref="H425">_xlfn.XLOOKUP(C425,customers!$A$1:$A$1001,customers!$G$1:$G$1001,customers!A424:H1397)</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7">
        <f t="shared" si="18"/>
        <v>17.91</v>
      </c>
      <c r="N425" t="str">
        <f t="shared" si="19"/>
        <v>Robusta</v>
      </c>
      <c r="O425" t="str">
        <f t="shared" si="20"/>
        <v>Medium</v>
      </c>
      <c r="P425" t="str">
        <f>_xlfn.XLOOKUP(C425,customers!$A$1:$A$1001,customers!$I$1:$I$1001,0)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IF(_xlfn.XLOOKUP(C426,customers!$A$1:$A$1001,customers!$C$1:$C$1001,)=0,"",_xlfn.XLOOKUP(C426,customers!$A$1:$A$1001,customers!$C$1:$C$1001,))</f>
        <v>ydombrellbs@dedecms.com</v>
      </c>
      <c r="H426" s="2" t="str" cm="1">
        <f t="array" ref="H426">_xlfn.XLOOKUP(C426,customers!$A$1:$A$1001,customers!$G$1:$G$1001,customers!A425:H1398)</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7">
        <f t="shared" si="18"/>
        <v>26.73</v>
      </c>
      <c r="N426" t="str">
        <f t="shared" si="19"/>
        <v>Excelsa</v>
      </c>
      <c r="O426" t="str">
        <f t="shared" si="20"/>
        <v>Large</v>
      </c>
      <c r="P426" t="str">
        <f>_xlfn.XLOOKUP(C426,customers!$A$1:$A$1001,customers!$I$1:$I$1001,0)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IF(_xlfn.XLOOKUP(C427,customers!$A$1:$A$1001,customers!$C$1:$C$1001,)=0,"",_xlfn.XLOOKUP(C427,customers!$A$1:$A$1001,customers!$C$1:$C$1001,))</f>
        <v>adarthbt@t.co</v>
      </c>
      <c r="H427" s="2" t="str" cm="1">
        <f t="array" ref="H427">_xlfn.XLOOKUP(C427,customers!$A$1:$A$1001,customers!$G$1:$G$1001,customers!A426:H1399)</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7">
        <f t="shared" si="18"/>
        <v>17.899999999999999</v>
      </c>
      <c r="N427" t="str">
        <f t="shared" si="19"/>
        <v>Robusta</v>
      </c>
      <c r="O427" t="str">
        <f t="shared" si="20"/>
        <v>Dark</v>
      </c>
      <c r="P427" t="str">
        <f>_xlfn.XLOOKUP(C427,customers!$A$1:$A$1001,customers!$I$1:$I$1001,0)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IF(_xlfn.XLOOKUP(C428,customers!$A$1:$A$1001,customers!$C$1:$C$1001,)=0,"",_xlfn.XLOOKUP(C428,customers!$A$1:$A$1001,customers!$C$1:$C$1001,))</f>
        <v>mdarrigoebu@hud.gov</v>
      </c>
      <c r="H428" s="2" t="str" cm="1">
        <f t="array" ref="H428">_xlfn.XLOOKUP(C428,customers!$A$1:$A$1001,customers!$G$1:$G$1001,customers!A427:H1400)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7">
        <f t="shared" si="18"/>
        <v>14.339999999999998</v>
      </c>
      <c r="N428" t="str">
        <f t="shared" si="19"/>
        <v>Robusta</v>
      </c>
      <c r="O428" t="str">
        <f t="shared" si="20"/>
        <v>Large</v>
      </c>
      <c r="P428" t="str">
        <f>_xlfn.XLOOKUP(C428,customers!$A$1:$A$1001,customers!$I$1:$I$1001,0)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IF(_xlfn.XLOOKUP(C429,customers!$A$1:$A$1001,customers!$C$1:$C$1001,)=0,"",_xlfn.XLOOKUP(C429,customers!$A$1:$A$1001,customers!$C$1:$C$1001,))</f>
        <v/>
      </c>
      <c r="H429" s="2" t="str" cm="1">
        <f t="array" ref="H429">_xlfn.XLOOKUP(C429,customers!$A$1:$A$1001,customers!$G$1:$G$1001,customers!A428:H1401)</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7">
        <f t="shared" si="18"/>
        <v>77.624999999999986</v>
      </c>
      <c r="N429" t="str">
        <f t="shared" si="19"/>
        <v>Arabic</v>
      </c>
      <c r="O429" t="str">
        <f t="shared" si="20"/>
        <v>Medium</v>
      </c>
      <c r="P429" t="str">
        <f>_xlfn.XLOOKUP(C429,customers!$A$1:$A$1001,customers!$I$1:$I$1001,0)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IF(_xlfn.XLOOKUP(C430,customers!$A$1:$A$1001,customers!$C$1:$C$1001,)=0,"",_xlfn.XLOOKUP(C430,customers!$A$1:$A$1001,customers!$C$1:$C$1001,))</f>
        <v>mackrillbw@bandcamp.com</v>
      </c>
      <c r="H430" s="2" t="str" cm="1">
        <f t="array" ref="H430">_xlfn.XLOOKUP(C430,customers!$A$1:$A$1001,customers!$G$1:$G$1001,customers!A429:H1402)</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7">
        <f t="shared" si="18"/>
        <v>59.75</v>
      </c>
      <c r="N430" t="str">
        <f t="shared" si="19"/>
        <v>Robusta</v>
      </c>
      <c r="O430" t="str">
        <f t="shared" si="20"/>
        <v>Large</v>
      </c>
      <c r="P430" t="str">
        <f>_xlfn.XLOOKUP(C430,customers!$A$1:$A$1001,customers!$I$1:$I$1001,0)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IF(_xlfn.XLOOKUP(C431,customers!$A$1:$A$1001,customers!$C$1:$C$1001,)=0,"",_xlfn.XLOOKUP(C431,customers!$A$1:$A$1001,customers!$C$1:$C$1001,))</f>
        <v>tfarraac@behance.net</v>
      </c>
      <c r="H431" s="2" t="str" cm="1">
        <f t="array" ref="H431">_xlfn.XLOOKUP(C431,customers!$A$1:$A$1001,customers!$G$1:$G$1001,customers!A430:H1403)</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7">
        <f t="shared" si="18"/>
        <v>77.699999999999989</v>
      </c>
      <c r="N431" t="str">
        <f t="shared" si="19"/>
        <v>Arabic</v>
      </c>
      <c r="O431" t="str">
        <f t="shared" si="20"/>
        <v>Large</v>
      </c>
      <c r="P431" t="str">
        <f>_xlfn.XLOOKUP(C431,customers!$A$1:$A$1001,customers!$I$1:$I$1001,0)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IF(_xlfn.XLOOKUP(C432,customers!$A$1:$A$1001,customers!$C$1:$C$1001,)=0,"",_xlfn.XLOOKUP(C432,customers!$A$1:$A$1001,customers!$C$1:$C$1001,))</f>
        <v>mkippenby@dion.ne.jp</v>
      </c>
      <c r="H432" s="2" t="str" cm="1">
        <f t="array" ref="H432">_xlfn.XLOOKUP(C432,customers!$A$1:$A$1001,customers!$G$1:$G$1001,customers!A431:H1404)</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7">
        <f t="shared" si="18"/>
        <v>5.3699999999999992</v>
      </c>
      <c r="N432" t="str">
        <f t="shared" si="19"/>
        <v>Robusta</v>
      </c>
      <c r="O432" t="str">
        <f t="shared" si="20"/>
        <v>Dark</v>
      </c>
      <c r="P432" t="str">
        <f>_xlfn.XLOOKUP(C432,customers!$A$1:$A$1001,customers!$I$1:$I$1001,0)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IF(_xlfn.XLOOKUP(C433,customers!$A$1:$A$1001,customers!$C$1:$C$1001,)=0,"",_xlfn.XLOOKUP(C433,customers!$A$1:$A$1001,customers!$C$1:$C$1001,))</f>
        <v>wransonbz@ted.com</v>
      </c>
      <c r="H433" s="2" t="str" cm="1">
        <f t="array" ref="H433">_xlfn.XLOOKUP(C433,customers!$A$1:$A$1001,customers!$G$1:$G$1001,customers!A432:H1405)</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7">
        <f t="shared" si="18"/>
        <v>83.835000000000008</v>
      </c>
      <c r="N433" t="str">
        <f t="shared" si="19"/>
        <v>Excelsa</v>
      </c>
      <c r="O433" t="str">
        <f t="shared" si="20"/>
        <v>Dark</v>
      </c>
      <c r="P433" t="str">
        <f>_xlfn.XLOOKUP(C433,customers!$A$1:$A$1001,customers!$I$1:$I$1001,0)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IF(_xlfn.XLOOKUP(C434,customers!$A$1:$A$1001,customers!$C$1:$C$1001,)=0,"",_xlfn.XLOOKUP(C434,customers!$A$1:$A$1001,customers!$C$1:$C$1001,))</f>
        <v/>
      </c>
      <c r="H434" s="2" t="str" cm="1">
        <f t="array" ref="H434">_xlfn.XLOOKUP(C434,customers!$A$1:$A$1001,customers!$G$1:$G$1001,customers!A433:H1406)</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7">
        <f t="shared" si="18"/>
        <v>22.5</v>
      </c>
      <c r="N434" t="str">
        <f t="shared" si="19"/>
        <v>Arabic</v>
      </c>
      <c r="O434" t="str">
        <f t="shared" si="20"/>
        <v>Medium</v>
      </c>
      <c r="P434" t="str">
        <f>_xlfn.XLOOKUP(C434,customers!$A$1:$A$1001,customers!$I$1:$I$1001,0)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IF(_xlfn.XLOOKUP(C435,customers!$A$1:$A$1001,customers!$C$1:$C$1001,)=0,"",_xlfn.XLOOKUP(C435,customers!$A$1:$A$1001,customers!$C$1:$C$1001,))</f>
        <v>lrignoldc1@miibeian.gov.cn</v>
      </c>
      <c r="H435" s="2" t="str" cm="1">
        <f t="array" ref="H435">_xlfn.XLOOKUP(C435,customers!$A$1:$A$1001,customers!$G$1:$G$1001,customers!A434:H1407)</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7">
        <f t="shared" si="18"/>
        <v>200.78999999999996</v>
      </c>
      <c r="N435" t="str">
        <f t="shared" si="19"/>
        <v>Librica</v>
      </c>
      <c r="O435" t="str">
        <f t="shared" si="20"/>
        <v>Medium</v>
      </c>
      <c r="P435" t="str">
        <f>_xlfn.XLOOKUP(C435,customers!$A$1:$A$1001,customers!$I$1:$I$1001,0)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IF(_xlfn.XLOOKUP(C436,customers!$A$1:$A$1001,customers!$C$1:$C$1001,)=0,"",_xlfn.XLOOKUP(C436,customers!$A$1:$A$1001,customers!$C$1:$C$1001,))</f>
        <v/>
      </c>
      <c r="H436" s="2" t="str" cm="1">
        <f t="array" ref="H436">_xlfn.XLOOKUP(C436,customers!$A$1:$A$1001,customers!$G$1:$G$1001,customers!A435:H1408)</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7">
        <f t="shared" si="18"/>
        <v>67.5</v>
      </c>
      <c r="N436" t="str">
        <f t="shared" si="19"/>
        <v>Arabic</v>
      </c>
      <c r="O436" t="str">
        <f t="shared" si="20"/>
        <v>Medium</v>
      </c>
      <c r="P436" t="str">
        <f>_xlfn.XLOOKUP(C436,customers!$A$1:$A$1001,customers!$I$1:$I$1001,0)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IF(_xlfn.XLOOKUP(C437,customers!$A$1:$A$1001,customers!$C$1:$C$1001,)=0,"",_xlfn.XLOOKUP(C437,customers!$A$1:$A$1001,customers!$C$1:$C$1001,))</f>
        <v>crowthornc3@msn.com</v>
      </c>
      <c r="H437" s="2" t="str" cm="1">
        <f t="array" ref="H437">_xlfn.XLOOKUP(C437,customers!$A$1:$A$1001,customers!$G$1:$G$1001,customers!A436:H1409)</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7">
        <f t="shared" si="18"/>
        <v>8.25</v>
      </c>
      <c r="N437" t="str">
        <f t="shared" si="19"/>
        <v>Excelsa</v>
      </c>
      <c r="O437" t="str">
        <f t="shared" si="20"/>
        <v>Medium</v>
      </c>
      <c r="P437" t="str">
        <f>_xlfn.XLOOKUP(C437,customers!$A$1:$A$1001,customers!$I$1:$I$1001,0)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IF(_xlfn.XLOOKUP(C438,customers!$A$1:$A$1001,customers!$C$1:$C$1001,)=0,"",_xlfn.XLOOKUP(C438,customers!$A$1:$A$1001,customers!$C$1:$C$1001,))</f>
        <v>orylandc4@deviantart.com</v>
      </c>
      <c r="H438" s="2" t="str" cm="1">
        <f t="array" ref="H438">_xlfn.XLOOKUP(C438,customers!$A$1:$A$1001,customers!$G$1:$G$1001,customers!A437:H1410)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7">
        <f t="shared" si="18"/>
        <v>9.51</v>
      </c>
      <c r="N438" t="str">
        <f t="shared" si="19"/>
        <v>Librica</v>
      </c>
      <c r="O438" t="str">
        <f t="shared" si="20"/>
        <v>Large</v>
      </c>
      <c r="P438" t="str">
        <f>_xlfn.XLOOKUP(C438,customers!$A$1:$A$1001,customers!$I$1:$I$1001,0)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IF(_xlfn.XLOOKUP(C439,customers!$A$1:$A$1001,customers!$C$1:$C$1001,)=0,"",_xlfn.XLOOKUP(C439,customers!$A$1:$A$1001,customers!$C$1:$C$1001,))</f>
        <v/>
      </c>
      <c r="H439" s="2" t="str" cm="1">
        <f t="array" ref="H439">_xlfn.XLOOKUP(C439,customers!$A$1:$A$1001,customers!$G$1:$G$1001,customers!A438:H1411)</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7">
        <f t="shared" si="18"/>
        <v>29.784999999999997</v>
      </c>
      <c r="N439" t="str">
        <f t="shared" si="19"/>
        <v>Librica</v>
      </c>
      <c r="O439" t="str">
        <f t="shared" si="20"/>
        <v>Dark</v>
      </c>
      <c r="P439" t="str">
        <f>_xlfn.XLOOKUP(C439,customers!$A$1:$A$1001,customers!$I$1:$I$1001,0)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IF(_xlfn.XLOOKUP(C440,customers!$A$1:$A$1001,customers!$C$1:$C$1001,)=0,"",_xlfn.XLOOKUP(C440,customers!$A$1:$A$1001,customers!$C$1:$C$1001,))</f>
        <v>msesonck@census.gov</v>
      </c>
      <c r="H440" s="2" t="str" cm="1">
        <f t="array" ref="H440">_xlfn.XLOOKUP(C440,customers!$A$1:$A$1001,customers!$G$1:$G$1001,customers!A439:H1412)</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7">
        <f t="shared" si="18"/>
        <v>15.54</v>
      </c>
      <c r="N440" t="str">
        <f t="shared" si="19"/>
        <v>Librica</v>
      </c>
      <c r="O440" t="str">
        <f t="shared" si="20"/>
        <v>Dark</v>
      </c>
      <c r="P440" t="str">
        <f>_xlfn.XLOOKUP(C440,customers!$A$1:$A$1001,customers!$I$1:$I$1001,0)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IF(_xlfn.XLOOKUP(C441,customers!$A$1:$A$1001,customers!$C$1:$C$1001,)=0,"",_xlfn.XLOOKUP(C441,customers!$A$1:$A$1001,customers!$C$1:$C$1001,))</f>
        <v>craglessc7@webmd.com</v>
      </c>
      <c r="H441" s="2" t="str" cm="1">
        <f t="array" ref="H441">_xlfn.XLOOKUP(C441,customers!$A$1:$A$1001,customers!$G$1:$G$1001,customers!A440:H1413)</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7">
        <f t="shared" si="18"/>
        <v>35.64</v>
      </c>
      <c r="N441" t="str">
        <f t="shared" si="19"/>
        <v>Excelsa</v>
      </c>
      <c r="O441" t="str">
        <f t="shared" si="20"/>
        <v>Large</v>
      </c>
      <c r="P441" t="str">
        <f>_xlfn.XLOOKUP(C441,customers!$A$1:$A$1001,customers!$I$1:$I$1001,0)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IF(_xlfn.XLOOKUP(C442,customers!$A$1:$A$1001,customers!$C$1:$C$1001,)=0,"",_xlfn.XLOOKUP(C442,customers!$A$1:$A$1001,customers!$C$1:$C$1001,))</f>
        <v>fhollowsc8@blogtalkradio.com</v>
      </c>
      <c r="H442" s="2" t="str" cm="1">
        <f t="array" ref="H442">_xlfn.XLOOKUP(C442,customers!$A$1:$A$1001,customers!$G$1:$G$1001,customers!A441:H1414)</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7">
        <f t="shared" si="18"/>
        <v>103.49999999999999</v>
      </c>
      <c r="N442" t="str">
        <f t="shared" si="19"/>
        <v>Arabic</v>
      </c>
      <c r="O442" t="str">
        <f t="shared" si="20"/>
        <v>Medium</v>
      </c>
      <c r="P442" t="str">
        <f>_xlfn.XLOOKUP(C442,customers!$A$1:$A$1001,customers!$I$1:$I$1001,0)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IF(_xlfn.XLOOKUP(C443,customers!$A$1:$A$1001,customers!$C$1:$C$1001,)=0,"",_xlfn.XLOOKUP(C443,customers!$A$1:$A$1001,customers!$C$1:$C$1001,))</f>
        <v>llathleiffc9@nationalgeographic.com</v>
      </c>
      <c r="H443" s="2" t="str" cm="1">
        <f t="array" ref="H443">_xlfn.XLOOKUP(C443,customers!$A$1:$A$1001,customers!$G$1:$G$1001,customers!A442:H1415)</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7">
        <f t="shared" si="18"/>
        <v>36.450000000000003</v>
      </c>
      <c r="N443" t="str">
        <f t="shared" si="19"/>
        <v>Excelsa</v>
      </c>
      <c r="O443" t="str">
        <f t="shared" si="20"/>
        <v>Dark</v>
      </c>
      <c r="P443" t="str">
        <f>_xlfn.XLOOKUP(C443,customers!$A$1:$A$1001,customers!$I$1:$I$1001,0)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IF(_xlfn.XLOOKUP(C444,customers!$A$1:$A$1001,customers!$C$1:$C$1001,)=0,"",_xlfn.XLOOKUP(C444,customers!$A$1:$A$1001,customers!$C$1:$C$1001,))</f>
        <v>kheadsca@jalbum.net</v>
      </c>
      <c r="H444" s="2" t="str" cm="1">
        <f t="array" ref="H444">_xlfn.XLOOKUP(C444,customers!$A$1:$A$1001,customers!$G$1:$G$1001,customers!A443:H1416)</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7">
        <f t="shared" si="18"/>
        <v>35.849999999999994</v>
      </c>
      <c r="N444" t="str">
        <f t="shared" si="19"/>
        <v>Robusta</v>
      </c>
      <c r="O444" t="str">
        <f t="shared" si="20"/>
        <v>Large</v>
      </c>
      <c r="P444" t="str">
        <f>_xlfn.XLOOKUP(C444,customers!$A$1:$A$1001,customers!$I$1:$I$1001,0)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IF(_xlfn.XLOOKUP(C445,customers!$A$1:$A$1001,customers!$C$1:$C$1001,)=0,"",_xlfn.XLOOKUP(C445,customers!$A$1:$A$1001,customers!$C$1:$C$1001,))</f>
        <v>tbownecb@unicef.org</v>
      </c>
      <c r="H445" s="2" t="str" cm="1">
        <f t="array" ref="H445">_xlfn.XLOOKUP(C445,customers!$A$1:$A$1001,customers!$G$1:$G$1001,customers!A444:H1417)</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7">
        <f t="shared" si="18"/>
        <v>22.274999999999999</v>
      </c>
      <c r="N445" t="str">
        <f t="shared" si="19"/>
        <v>Excelsa</v>
      </c>
      <c r="O445" t="str">
        <f t="shared" si="20"/>
        <v>Large</v>
      </c>
      <c r="P445" t="str">
        <f>_xlfn.XLOOKUP(C445,customers!$A$1:$A$1001,customers!$I$1:$I$1001,0)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IF(_xlfn.XLOOKUP(C446,customers!$A$1:$A$1001,customers!$C$1:$C$1001,)=0,"",_xlfn.XLOOKUP(C446,customers!$A$1:$A$1001,customers!$C$1:$C$1001,))</f>
        <v>rjacquemardcc@acquirethisname.com</v>
      </c>
      <c r="H446" s="2" t="str" cm="1">
        <f t="array" ref="H446">_xlfn.XLOOKUP(C446,customers!$A$1:$A$1001,customers!$G$1:$G$1001,customers!A445:H1418)</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7">
        <f t="shared" si="18"/>
        <v>24.75</v>
      </c>
      <c r="N446" t="str">
        <f t="shared" si="19"/>
        <v>Excelsa</v>
      </c>
      <c r="O446" t="str">
        <f t="shared" si="20"/>
        <v>Medium</v>
      </c>
      <c r="P446" t="str">
        <f>_xlfn.XLOOKUP(C446,customers!$A$1:$A$1001,customers!$I$1:$I$1001,0)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IF(_xlfn.XLOOKUP(C447,customers!$A$1:$A$1001,customers!$C$1:$C$1001,)=0,"",_xlfn.XLOOKUP(C447,customers!$A$1:$A$1001,customers!$C$1:$C$1001,))</f>
        <v>kwarmancd@printfriendly.com</v>
      </c>
      <c r="H447" s="2" t="str" cm="1">
        <f t="array" ref="H447">_xlfn.XLOOKUP(C447,customers!$A$1:$A$1001,customers!$G$1:$G$1001,customers!A446:H1419)</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7">
        <f t="shared" si="18"/>
        <v>66.929999999999993</v>
      </c>
      <c r="N447" t="str">
        <f t="shared" si="19"/>
        <v>Librica</v>
      </c>
      <c r="O447" t="str">
        <f t="shared" si="20"/>
        <v>Medium</v>
      </c>
      <c r="P447" t="str">
        <f>_xlfn.XLOOKUP(C447,customers!$A$1:$A$1001,customers!$I$1:$I$1001,0)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IF(_xlfn.XLOOKUP(C448,customers!$A$1:$A$1001,customers!$C$1:$C$1001,)=0,"",_xlfn.XLOOKUP(C448,customers!$A$1:$A$1001,customers!$C$1:$C$1001,))</f>
        <v>wcholomince@about.com</v>
      </c>
      <c r="H448" s="2" t="str" cm="1">
        <f t="array" ref="H448">_xlfn.XLOOKUP(C448,customers!$A$1:$A$1001,customers!$G$1:$G$1001,customers!A447:H1420)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7">
        <f t="shared" si="18"/>
        <v>8.73</v>
      </c>
      <c r="N448" t="str">
        <f t="shared" si="19"/>
        <v>Librica</v>
      </c>
      <c r="O448" t="str">
        <f t="shared" si="20"/>
        <v>Medium</v>
      </c>
      <c r="P448" t="str">
        <f>_xlfn.XLOOKUP(C448,customers!$A$1:$A$1001,customers!$I$1:$I$1001,0)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IF(_xlfn.XLOOKUP(C449,customers!$A$1:$A$1001,customers!$C$1:$C$1001,)=0,"",_xlfn.XLOOKUP(C449,customers!$A$1:$A$1001,customers!$C$1:$C$1001,))</f>
        <v>abraidmancf@census.gov</v>
      </c>
      <c r="H449" s="2" t="str" cm="1">
        <f t="array" ref="H449">_xlfn.XLOOKUP(C449,customers!$A$1:$A$1001,customers!$G$1:$G$1001,customers!A448:H1421)</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7">
        <f t="shared" si="18"/>
        <v>17.91</v>
      </c>
      <c r="N449" t="str">
        <f t="shared" si="19"/>
        <v>Robusta</v>
      </c>
      <c r="O449" t="str">
        <f t="shared" si="20"/>
        <v>Medium</v>
      </c>
      <c r="P449" t="str">
        <f>_xlfn.XLOOKUP(C449,customers!$A$1:$A$1001,customers!$I$1:$I$1001,0)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IF(_xlfn.XLOOKUP(C450,customers!$A$1:$A$1001,customers!$C$1:$C$1001,)=0,"",_xlfn.XLOOKUP(C450,customers!$A$1:$A$1001,customers!$C$1:$C$1001,))</f>
        <v>pdurbancg@symantec.com</v>
      </c>
      <c r="H450" s="2" t="str" cm="1">
        <f t="array" ref="H450">_xlfn.XLOOKUP(C450,customers!$A$1:$A$1001,customers!$G$1:$G$1001,customers!A449:H1422)</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7">
        <f t="shared" si="18"/>
        <v>7.169999999999999</v>
      </c>
      <c r="N450" t="str">
        <f t="shared" si="19"/>
        <v>Robusta</v>
      </c>
      <c r="O450" t="str">
        <f t="shared" si="20"/>
        <v>Large</v>
      </c>
      <c r="P450" t="str">
        <f>_xlfn.XLOOKUP(C450,customers!$A$1:$A$1001,customers!$I$1:$I$1001,0)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IF(_xlfn.XLOOKUP(C451,customers!$A$1:$A$1001,customers!$C$1:$C$1001,)=0,"",_xlfn.XLOOKUP(C451,customers!$A$1:$A$1001,customers!$C$1:$C$1001,))</f>
        <v>aharroldch@miibeian.gov.cn</v>
      </c>
      <c r="H451" s="2" t="str" cm="1">
        <f t="array" ref="H451">_xlfn.XLOOKUP(C451,customers!$A$1:$A$1001,customers!$G$1:$G$1001,customers!A450:H1423)</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7">
        <f t="shared" ref="M451:M514" si="21">L451*E451</f>
        <v>5.3699999999999992</v>
      </c>
      <c r="N451" t="str">
        <f t="shared" ref="N451:N514" si="22">IF(I451="Rob","Robusta",IF(I451="Exc","Excelsa",IF(I451="Ara","Arabic",IF(I451="Lib","Librica"))))</f>
        <v>Robusta</v>
      </c>
      <c r="O451" t="str">
        <f t="shared" ref="O451:O514" si="23">IF(J451="M","Medium",IF(J451="L","Large",IF(J451="D","Dark")))</f>
        <v>Dark</v>
      </c>
      <c r="P451" t="str">
        <f>_xlfn.XLOOKUP(C451,customers!$A$1:$A$1001,customers!$I$1:$I$1001,0)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IF(_xlfn.XLOOKUP(C452,customers!$A$1:$A$1001,customers!$C$1:$C$1001,)=0,"",_xlfn.XLOOKUP(C452,customers!$A$1:$A$1001,customers!$C$1:$C$1001,))</f>
        <v>spamphilonci@mlb.com</v>
      </c>
      <c r="H452" s="2" t="str" cm="1">
        <f t="array" ref="H452">_xlfn.XLOOKUP(C452,customers!$A$1:$A$1001,customers!$G$1:$G$1001,customers!A451:H1424)</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7">
        <f t="shared" si="21"/>
        <v>23.774999999999999</v>
      </c>
      <c r="N452" t="str">
        <f t="shared" si="22"/>
        <v>Librica</v>
      </c>
      <c r="O452" t="str">
        <f t="shared" si="23"/>
        <v>Large</v>
      </c>
      <c r="P452" t="str">
        <f>_xlfn.XLOOKUP(C452,customers!$A$1:$A$1001,customers!$I$1:$I$1001,0)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IF(_xlfn.XLOOKUP(C453,customers!$A$1:$A$1001,customers!$C$1:$C$1001,)=0,"",_xlfn.XLOOKUP(C453,customers!$A$1:$A$1001,customers!$C$1:$C$1001,))</f>
        <v>mspurdencj@exblog.jp</v>
      </c>
      <c r="H453" s="2" t="str" cm="1">
        <f t="array" ref="H453">_xlfn.XLOOKUP(C453,customers!$A$1:$A$1001,customers!$G$1:$G$1001,customers!A452:H1425)</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7">
        <f t="shared" si="21"/>
        <v>41.169999999999995</v>
      </c>
      <c r="N453" t="str">
        <f t="shared" si="22"/>
        <v>Robusta</v>
      </c>
      <c r="O453" t="str">
        <f t="shared" si="23"/>
        <v>Dark</v>
      </c>
      <c r="P453" t="str">
        <f>_xlfn.XLOOKUP(C453,customers!$A$1:$A$1001,customers!$I$1:$I$1001,0)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IF(_xlfn.XLOOKUP(C454,customers!$A$1:$A$1001,customers!$C$1:$C$1001,)=0,"",_xlfn.XLOOKUP(C454,customers!$A$1:$A$1001,customers!$C$1:$C$1001,))</f>
        <v>msesonck@census.gov</v>
      </c>
      <c r="H454" s="2" t="str" cm="1">
        <f t="array" ref="H454">_xlfn.XLOOKUP(C454,customers!$A$1:$A$1001,customers!$G$1:$G$1001,customers!A453:H1426)</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7">
        <f t="shared" si="21"/>
        <v>11.654999999999999</v>
      </c>
      <c r="N454" t="str">
        <f t="shared" si="22"/>
        <v>Arabic</v>
      </c>
      <c r="O454" t="str">
        <f t="shared" si="23"/>
        <v>Large</v>
      </c>
      <c r="P454" t="str">
        <f>_xlfn.XLOOKUP(C454,customers!$A$1:$A$1001,customers!$I$1:$I$1001,0)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IF(_xlfn.XLOOKUP(C455,customers!$A$1:$A$1001,customers!$C$1:$C$1001,)=0,"",_xlfn.XLOOKUP(C455,customers!$A$1:$A$1001,customers!$C$1:$C$1001,))</f>
        <v>npirronecl@weibo.com</v>
      </c>
      <c r="H455" s="2" t="str" cm="1">
        <f t="array" ref="H455">_xlfn.XLOOKUP(C455,customers!$A$1:$A$1001,customers!$G$1:$G$1001,customers!A454:H1427)</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7">
        <f t="shared" si="21"/>
        <v>38.04</v>
      </c>
      <c r="N455" t="str">
        <f t="shared" si="22"/>
        <v>Librica</v>
      </c>
      <c r="O455" t="str">
        <f t="shared" si="23"/>
        <v>Large</v>
      </c>
      <c r="P455" t="str">
        <f>_xlfn.XLOOKUP(C455,customers!$A$1:$A$1001,customers!$I$1:$I$1001,0)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IF(_xlfn.XLOOKUP(C456,customers!$A$1:$A$1001,customers!$C$1:$C$1001,)=0,"",_xlfn.XLOOKUP(C456,customers!$A$1:$A$1001,customers!$C$1:$C$1001,))</f>
        <v>rcawleycm@yellowbook.com</v>
      </c>
      <c r="H456" s="2" t="str" cm="1">
        <f t="array" ref="H456">_xlfn.XLOOKUP(C456,customers!$A$1:$A$1001,customers!$G$1:$G$1001,customers!A455:H1428)</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7">
        <f t="shared" si="21"/>
        <v>82.339999999999989</v>
      </c>
      <c r="N456" t="str">
        <f t="shared" si="22"/>
        <v>Robusta</v>
      </c>
      <c r="O456" t="str">
        <f t="shared" si="23"/>
        <v>Dark</v>
      </c>
      <c r="P456" t="str">
        <f>_xlfn.XLOOKUP(C456,customers!$A$1:$A$1001,customers!$I$1:$I$1001,0)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IF(_xlfn.XLOOKUP(C457,customers!$A$1:$A$1001,customers!$C$1:$C$1001,)=0,"",_xlfn.XLOOKUP(C457,customers!$A$1:$A$1001,customers!$C$1:$C$1001,))</f>
        <v>sbarribalcn@microsoft.com</v>
      </c>
      <c r="H457" s="2" t="str" cm="1">
        <f t="array" ref="H457">_xlfn.XLOOKUP(C457,customers!$A$1:$A$1001,customers!$G$1:$G$1001,customers!A456:H1429)</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7">
        <f t="shared" si="21"/>
        <v>9.51</v>
      </c>
      <c r="N457" t="str">
        <f t="shared" si="22"/>
        <v>Librica</v>
      </c>
      <c r="O457" t="str">
        <f t="shared" si="23"/>
        <v>Large</v>
      </c>
      <c r="P457" t="str">
        <f>_xlfn.XLOOKUP(C457,customers!$A$1:$A$1001,customers!$I$1:$I$1001,0)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IF(_xlfn.XLOOKUP(C458,customers!$A$1:$A$1001,customers!$C$1:$C$1001,)=0,"",_xlfn.XLOOKUP(C458,customers!$A$1:$A$1001,customers!$C$1:$C$1001,))</f>
        <v>aadamidesco@bizjournals.com</v>
      </c>
      <c r="H458" s="2" t="str" cm="1">
        <f t="array" ref="H458">_xlfn.XLOOKUP(C458,customers!$A$1:$A$1001,customers!$G$1:$G$1001,customers!A457:H1430)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7">
        <f t="shared" si="21"/>
        <v>41.169999999999995</v>
      </c>
      <c r="N458" t="str">
        <f t="shared" si="22"/>
        <v>Robusta</v>
      </c>
      <c r="O458" t="str">
        <f t="shared" si="23"/>
        <v>Dark</v>
      </c>
      <c r="P458" t="str">
        <f>_xlfn.XLOOKUP(C458,customers!$A$1:$A$1001,customers!$I$1:$I$1001,0)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IF(_xlfn.XLOOKUP(C459,customers!$A$1:$A$1001,customers!$C$1:$C$1001,)=0,"",_xlfn.XLOOKUP(C459,customers!$A$1:$A$1001,customers!$C$1:$C$1001,))</f>
        <v>cthowescp@craigslist.org</v>
      </c>
      <c r="H459" s="2" t="str" cm="1">
        <f t="array" ref="H459">_xlfn.XLOOKUP(C459,customers!$A$1:$A$1001,customers!$G$1:$G$1001,customers!A458:H1431)</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7">
        <f t="shared" si="21"/>
        <v>47.55</v>
      </c>
      <c r="N459" t="str">
        <f t="shared" si="22"/>
        <v>Librica</v>
      </c>
      <c r="O459" t="str">
        <f t="shared" si="23"/>
        <v>Large</v>
      </c>
      <c r="P459" t="str">
        <f>_xlfn.XLOOKUP(C459,customers!$A$1:$A$1001,customers!$I$1:$I$1001,0)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IF(_xlfn.XLOOKUP(C460,customers!$A$1:$A$1001,customers!$C$1:$C$1001,)=0,"",_xlfn.XLOOKUP(C460,customers!$A$1:$A$1001,customers!$C$1:$C$1001,))</f>
        <v>rwillowaycq@admin.ch</v>
      </c>
      <c r="H460" s="2" t="str" cm="1">
        <f t="array" ref="H460">_xlfn.XLOOKUP(C460,customers!$A$1:$A$1001,customers!$G$1:$G$1001,customers!A459:H1432)</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7">
        <f t="shared" si="21"/>
        <v>45</v>
      </c>
      <c r="N460" t="str">
        <f t="shared" si="22"/>
        <v>Arabic</v>
      </c>
      <c r="O460" t="str">
        <f t="shared" si="23"/>
        <v>Medium</v>
      </c>
      <c r="P460" t="str">
        <f>_xlfn.XLOOKUP(C460,customers!$A$1:$A$1001,customers!$I$1:$I$1001,0)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IF(_xlfn.XLOOKUP(C461,customers!$A$1:$A$1001,customers!$C$1:$C$1001,)=0,"",_xlfn.XLOOKUP(C461,customers!$A$1:$A$1001,customers!$C$1:$C$1001,))</f>
        <v>aelwincr@privacy.gov.au</v>
      </c>
      <c r="H461" s="2" t="str" cm="1">
        <f t="array" ref="H461">_xlfn.XLOOKUP(C461,customers!$A$1:$A$1001,customers!$G$1:$G$1001,customers!A460:H1433)</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7">
        <f t="shared" si="21"/>
        <v>23.774999999999999</v>
      </c>
      <c r="N461" t="str">
        <f t="shared" si="22"/>
        <v>Librica</v>
      </c>
      <c r="O461" t="str">
        <f t="shared" si="23"/>
        <v>Large</v>
      </c>
      <c r="P461" t="str">
        <f>_xlfn.XLOOKUP(C461,customers!$A$1:$A$1001,customers!$I$1:$I$1001,0)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IF(_xlfn.XLOOKUP(C462,customers!$A$1:$A$1001,customers!$C$1:$C$1001,)=0,"",_xlfn.XLOOKUP(C462,customers!$A$1:$A$1001,customers!$C$1:$C$1001,))</f>
        <v>abilbrookcs@booking.com</v>
      </c>
      <c r="H462" s="2" t="str" cm="1">
        <f t="array" ref="H462">_xlfn.XLOOKUP(C462,customers!$A$1:$A$1001,customers!$G$1:$G$1001,customers!A461:H1434)</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7">
        <f t="shared" si="21"/>
        <v>16.11</v>
      </c>
      <c r="N462" t="str">
        <f t="shared" si="22"/>
        <v>Robusta</v>
      </c>
      <c r="O462" t="str">
        <f t="shared" si="23"/>
        <v>Dark</v>
      </c>
      <c r="P462" t="str">
        <f>_xlfn.XLOOKUP(C462,customers!$A$1:$A$1001,customers!$I$1:$I$1001,0)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IF(_xlfn.XLOOKUP(C463,customers!$A$1:$A$1001,customers!$C$1:$C$1001,)=0,"",_xlfn.XLOOKUP(C463,customers!$A$1:$A$1001,customers!$C$1:$C$1001,))</f>
        <v>rmckallct@sakura.ne.jp</v>
      </c>
      <c r="H463" s="2" t="str" cm="1">
        <f t="array" ref="H463">_xlfn.XLOOKUP(C463,customers!$A$1:$A$1001,customers!$G$1:$G$1001,customers!A462:H1435)</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7">
        <f t="shared" si="21"/>
        <v>10.739999999999998</v>
      </c>
      <c r="N463" t="str">
        <f t="shared" si="22"/>
        <v>Robusta</v>
      </c>
      <c r="O463" t="str">
        <f t="shared" si="23"/>
        <v>Dark</v>
      </c>
      <c r="P463" t="str">
        <f>_xlfn.XLOOKUP(C463,customers!$A$1:$A$1001,customers!$I$1:$I$1001,0)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IF(_xlfn.XLOOKUP(C464,customers!$A$1:$A$1001,customers!$C$1:$C$1001,)=0,"",_xlfn.XLOOKUP(C464,customers!$A$1:$A$1001,customers!$C$1:$C$1001,))</f>
        <v>bdailecu@vistaprint.com</v>
      </c>
      <c r="H464" s="2" t="str" cm="1">
        <f t="array" ref="H464">_xlfn.XLOOKUP(C464,customers!$A$1:$A$1001,customers!$G$1:$G$1001,customers!A463:H1436)</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7">
        <f t="shared" si="21"/>
        <v>49.75</v>
      </c>
      <c r="N464" t="str">
        <f t="shared" si="22"/>
        <v>Arabic</v>
      </c>
      <c r="O464" t="str">
        <f t="shared" si="23"/>
        <v>Dark</v>
      </c>
      <c r="P464" t="str">
        <f>_xlfn.XLOOKUP(C464,customers!$A$1:$A$1001,customers!$I$1:$I$1001,0)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IF(_xlfn.XLOOKUP(C465,customers!$A$1:$A$1001,customers!$C$1:$C$1001,)=0,"",_xlfn.XLOOKUP(C465,customers!$A$1:$A$1001,customers!$C$1:$C$1001,))</f>
        <v>atrehernecv@state.tx.us</v>
      </c>
      <c r="H465" s="2" t="str" cm="1">
        <f t="array" ref="H465">_xlfn.XLOOKUP(C465,customers!$A$1:$A$1001,customers!$G$1:$G$1001,customers!A464:H1437)</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7">
        <f t="shared" si="21"/>
        <v>27.5</v>
      </c>
      <c r="N465" t="str">
        <f t="shared" si="22"/>
        <v>Excelsa</v>
      </c>
      <c r="O465" t="str">
        <f t="shared" si="23"/>
        <v>Medium</v>
      </c>
      <c r="P465" t="str">
        <f>_xlfn.XLOOKUP(C465,customers!$A$1:$A$1001,customers!$I$1:$I$1001,0)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IF(_xlfn.XLOOKUP(C466,customers!$A$1:$A$1001,customers!$C$1:$C$1001,)=0,"",_xlfn.XLOOKUP(C466,customers!$A$1:$A$1001,customers!$C$1:$C$1001,))</f>
        <v>abrentnallcw@biglobe.ne.jp</v>
      </c>
      <c r="H466" s="2" t="str" cm="1">
        <f t="array" ref="H466">_xlfn.XLOOKUP(C466,customers!$A$1:$A$1001,customers!$G$1:$G$1001,customers!A465:H1438)</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7">
        <f t="shared" si="21"/>
        <v>119.13999999999999</v>
      </c>
      <c r="N466" t="str">
        <f t="shared" si="22"/>
        <v>Librica</v>
      </c>
      <c r="O466" t="str">
        <f t="shared" si="23"/>
        <v>Dark</v>
      </c>
      <c r="P466" t="str">
        <f>_xlfn.XLOOKUP(C466,customers!$A$1:$A$1001,customers!$I$1:$I$1001,0)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IF(_xlfn.XLOOKUP(C467,customers!$A$1:$A$1001,customers!$C$1:$C$1001,)=0,"",_xlfn.XLOOKUP(C467,customers!$A$1:$A$1001,customers!$C$1:$C$1001,))</f>
        <v>ddrinkallcx@psu.edu</v>
      </c>
      <c r="H467" s="2" t="str" cm="1">
        <f t="array" ref="H467">_xlfn.XLOOKUP(C467,customers!$A$1:$A$1001,customers!$G$1:$G$1001,customers!A466:H1439)</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7">
        <f t="shared" si="21"/>
        <v>20.584999999999997</v>
      </c>
      <c r="N467" t="str">
        <f t="shared" si="22"/>
        <v>Robusta</v>
      </c>
      <c r="O467" t="str">
        <f t="shared" si="23"/>
        <v>Dark</v>
      </c>
      <c r="P467" t="str">
        <f>_xlfn.XLOOKUP(C467,customers!$A$1:$A$1001,customers!$I$1:$I$1001,0)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IF(_xlfn.XLOOKUP(C468,customers!$A$1:$A$1001,customers!$C$1:$C$1001,)=0,"",_xlfn.XLOOKUP(C468,customers!$A$1:$A$1001,customers!$C$1:$C$1001,))</f>
        <v>dkornelcy@cyberchimps.com</v>
      </c>
      <c r="H468" s="2" t="str" cm="1">
        <f t="array" ref="H468">_xlfn.XLOOKUP(C468,customers!$A$1:$A$1001,customers!$G$1:$G$1001,customers!A467:H1440)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7">
        <f t="shared" si="21"/>
        <v>8.9550000000000001</v>
      </c>
      <c r="N468" t="str">
        <f t="shared" si="22"/>
        <v>Arabic</v>
      </c>
      <c r="O468" t="str">
        <f t="shared" si="23"/>
        <v>Dark</v>
      </c>
      <c r="P468" t="str">
        <f>_xlfn.XLOOKUP(C468,customers!$A$1:$A$1001,customers!$I$1:$I$1001,0)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IF(_xlfn.XLOOKUP(C469,customers!$A$1:$A$1001,customers!$C$1:$C$1001,)=0,"",_xlfn.XLOOKUP(C469,customers!$A$1:$A$1001,customers!$C$1:$C$1001,))</f>
        <v>rlequeuxcz@newyorker.com</v>
      </c>
      <c r="H469" s="2" t="str" cm="1">
        <f t="array" ref="H469">_xlfn.XLOOKUP(C469,customers!$A$1:$A$1001,customers!$G$1:$G$1001,customers!A468:H1441)</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7">
        <f t="shared" si="21"/>
        <v>5.97</v>
      </c>
      <c r="N469" t="str">
        <f t="shared" si="22"/>
        <v>Arabic</v>
      </c>
      <c r="O469" t="str">
        <f t="shared" si="23"/>
        <v>Dark</v>
      </c>
      <c r="P469" t="str">
        <f>_xlfn.XLOOKUP(C469,customers!$A$1:$A$1001,customers!$I$1:$I$1001,0)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IF(_xlfn.XLOOKUP(C470,customers!$A$1:$A$1001,customers!$C$1:$C$1001,)=0,"",_xlfn.XLOOKUP(C470,customers!$A$1:$A$1001,customers!$C$1:$C$1001,))</f>
        <v>jmccaulld0@parallels.com</v>
      </c>
      <c r="H470" s="2" t="str" cm="1">
        <f t="array" ref="H470">_xlfn.XLOOKUP(C470,customers!$A$1:$A$1001,customers!$G$1:$G$1001,customers!A469:H1442)</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7">
        <f t="shared" si="21"/>
        <v>41.25</v>
      </c>
      <c r="N470" t="str">
        <f t="shared" si="22"/>
        <v>Excelsa</v>
      </c>
      <c r="O470" t="str">
        <f t="shared" si="23"/>
        <v>Medium</v>
      </c>
      <c r="P470" t="str">
        <f>_xlfn.XLOOKUP(C470,customers!$A$1:$A$1001,customers!$I$1:$I$1001,0)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IF(_xlfn.XLOOKUP(C471,customers!$A$1:$A$1001,customers!$C$1:$C$1001,)=0,"",_xlfn.XLOOKUP(C471,customers!$A$1:$A$1001,customers!$C$1:$C$1001,))</f>
        <v>abrashda@plala.or.jp</v>
      </c>
      <c r="H471" s="2" t="str" cm="1">
        <f t="array" ref="H471">_xlfn.XLOOKUP(C471,customers!$A$1:$A$1001,customers!$G$1:$G$1001,customers!A470:H1443)</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7">
        <f t="shared" si="21"/>
        <v>22.274999999999999</v>
      </c>
      <c r="N471" t="str">
        <f t="shared" si="22"/>
        <v>Excelsa</v>
      </c>
      <c r="O471" t="str">
        <f t="shared" si="23"/>
        <v>Large</v>
      </c>
      <c r="P471" t="str">
        <f>_xlfn.XLOOKUP(C471,customers!$A$1:$A$1001,customers!$I$1:$I$1001,0)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IF(_xlfn.XLOOKUP(C472,customers!$A$1:$A$1001,customers!$C$1:$C$1001,)=0,"",_xlfn.XLOOKUP(C472,customers!$A$1:$A$1001,customers!$C$1:$C$1001,))</f>
        <v>ahutchinsond2@imgur.com</v>
      </c>
      <c r="H472" s="2" t="str" cm="1">
        <f t="array" ref="H472">_xlfn.XLOOKUP(C472,customers!$A$1:$A$1001,customers!$G$1:$G$1001,customers!A471:H1444)</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7">
        <f t="shared" si="21"/>
        <v>6.75</v>
      </c>
      <c r="N472" t="str">
        <f t="shared" si="22"/>
        <v>Arabic</v>
      </c>
      <c r="O472" t="str">
        <f t="shared" si="23"/>
        <v>Medium</v>
      </c>
      <c r="P472" t="str">
        <f>_xlfn.XLOOKUP(C472,customers!$A$1:$A$1001,customers!$I$1:$I$1001,0)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IF(_xlfn.XLOOKUP(C473,customers!$A$1:$A$1001,customers!$C$1:$C$1001,)=0,"",_xlfn.XLOOKUP(C473,customers!$A$1:$A$1001,customers!$C$1:$C$1001,))</f>
        <v/>
      </c>
      <c r="H473" s="2" t="str" cm="1">
        <f t="array" ref="H473">_xlfn.XLOOKUP(C473,customers!$A$1:$A$1001,customers!$G$1:$G$1001,customers!A472:H1445)</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7">
        <f t="shared" si="21"/>
        <v>133.85999999999999</v>
      </c>
      <c r="N473" t="str">
        <f t="shared" si="22"/>
        <v>Librica</v>
      </c>
      <c r="O473" t="str">
        <f t="shared" si="23"/>
        <v>Medium</v>
      </c>
      <c r="P473" t="str">
        <f>_xlfn.XLOOKUP(C473,customers!$A$1:$A$1001,customers!$I$1:$I$1001,0)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IF(_xlfn.XLOOKUP(C474,customers!$A$1:$A$1001,customers!$C$1:$C$1001,)=0,"",_xlfn.XLOOKUP(C474,customers!$A$1:$A$1001,customers!$C$1:$C$1001,))</f>
        <v>rdriversd4@hexun.com</v>
      </c>
      <c r="H474" s="2" t="str" cm="1">
        <f t="array" ref="H474">_xlfn.XLOOKUP(C474,customers!$A$1:$A$1001,customers!$G$1:$G$1001,customers!A473:H1446)</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7">
        <f t="shared" si="21"/>
        <v>5.97</v>
      </c>
      <c r="N474" t="str">
        <f t="shared" si="22"/>
        <v>Arabic</v>
      </c>
      <c r="O474" t="str">
        <f t="shared" si="23"/>
        <v>Dark</v>
      </c>
      <c r="P474" t="str">
        <f>_xlfn.XLOOKUP(C474,customers!$A$1:$A$1001,customers!$I$1:$I$1001,0)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IF(_xlfn.XLOOKUP(C475,customers!$A$1:$A$1001,customers!$C$1:$C$1001,)=0,"",_xlfn.XLOOKUP(C475,customers!$A$1:$A$1001,customers!$C$1:$C$1001,))</f>
        <v>hzeald5@google.de</v>
      </c>
      <c r="H475" s="2" t="str" cm="1">
        <f t="array" ref="H475">_xlfn.XLOOKUP(C475,customers!$A$1:$A$1001,customers!$G$1:$G$1001,customers!A474:H1447)</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7">
        <f t="shared" si="21"/>
        <v>25.9</v>
      </c>
      <c r="N475" t="str">
        <f t="shared" si="22"/>
        <v>Arabic</v>
      </c>
      <c r="O475" t="str">
        <f t="shared" si="23"/>
        <v>Large</v>
      </c>
      <c r="P475" t="str">
        <f>_xlfn.XLOOKUP(C475,customers!$A$1:$A$1001,customers!$I$1:$I$1001,0)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IF(_xlfn.XLOOKUP(C476,customers!$A$1:$A$1001,customers!$C$1:$C$1001,)=0,"",_xlfn.XLOOKUP(C476,customers!$A$1:$A$1001,customers!$C$1:$C$1001,))</f>
        <v>gsmallcombed6@ucla.edu</v>
      </c>
      <c r="H476" s="2" t="str" cm="1">
        <f t="array" ref="H476">_xlfn.XLOOKUP(C476,customers!$A$1:$A$1001,customers!$G$1:$G$1001,customers!A475:H1448)</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7">
        <f t="shared" si="21"/>
        <v>31.624999999999996</v>
      </c>
      <c r="N476" t="str">
        <f t="shared" si="22"/>
        <v>Excelsa</v>
      </c>
      <c r="O476" t="str">
        <f t="shared" si="23"/>
        <v>Medium</v>
      </c>
      <c r="P476" t="str">
        <f>_xlfn.XLOOKUP(C476,customers!$A$1:$A$1001,customers!$I$1:$I$1001,0)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IF(_xlfn.XLOOKUP(C477,customers!$A$1:$A$1001,customers!$C$1:$C$1001,)=0,"",_xlfn.XLOOKUP(C477,customers!$A$1:$A$1001,customers!$C$1:$C$1001,))</f>
        <v>ddibleyd7@feedburner.com</v>
      </c>
      <c r="H477" s="2" t="str" cm="1">
        <f t="array" ref="H477">_xlfn.XLOOKUP(C477,customers!$A$1:$A$1001,customers!$G$1:$G$1001,customers!A476:H1449)</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7">
        <f t="shared" si="21"/>
        <v>8.73</v>
      </c>
      <c r="N477" t="str">
        <f t="shared" si="22"/>
        <v>Librica</v>
      </c>
      <c r="O477" t="str">
        <f t="shared" si="23"/>
        <v>Medium</v>
      </c>
      <c r="P477" t="str">
        <f>_xlfn.XLOOKUP(C477,customers!$A$1:$A$1001,customers!$I$1:$I$1001,0)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IF(_xlfn.XLOOKUP(C478,customers!$A$1:$A$1001,customers!$C$1:$C$1001,)=0,"",_xlfn.XLOOKUP(C478,customers!$A$1:$A$1001,customers!$C$1:$C$1001,))</f>
        <v>gdimitrioud8@chronoengine.com</v>
      </c>
      <c r="H478" s="2" t="str" cm="1">
        <f t="array" ref="H478">_xlfn.XLOOKUP(C478,customers!$A$1:$A$1001,customers!$G$1:$G$1001,customers!A477:H1450)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7">
        <f t="shared" si="21"/>
        <v>26.73</v>
      </c>
      <c r="N478" t="str">
        <f t="shared" si="22"/>
        <v>Excelsa</v>
      </c>
      <c r="O478" t="str">
        <f t="shared" si="23"/>
        <v>Large</v>
      </c>
      <c r="P478" t="str">
        <f>_xlfn.XLOOKUP(C478,customers!$A$1:$A$1001,customers!$I$1:$I$1001,0)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IF(_xlfn.XLOOKUP(C479,customers!$A$1:$A$1001,customers!$C$1:$C$1001,)=0,"",_xlfn.XLOOKUP(C479,customers!$A$1:$A$1001,customers!$C$1:$C$1001,))</f>
        <v>fflanagand9@woothemes.com</v>
      </c>
      <c r="H479" s="2" t="str" cm="1">
        <f t="array" ref="H479">_xlfn.XLOOKUP(C479,customers!$A$1:$A$1001,customers!$G$1:$G$1001,customers!A478:H1451)</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7">
        <f t="shared" si="21"/>
        <v>26.19</v>
      </c>
      <c r="N479" t="str">
        <f t="shared" si="22"/>
        <v>Librica</v>
      </c>
      <c r="O479" t="str">
        <f t="shared" si="23"/>
        <v>Medium</v>
      </c>
      <c r="P479" t="str">
        <f>_xlfn.XLOOKUP(C479,customers!$A$1:$A$1001,customers!$I$1:$I$1001,0)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IF(_xlfn.XLOOKUP(C480,customers!$A$1:$A$1001,customers!$C$1:$C$1001,)=0,"",_xlfn.XLOOKUP(C480,customers!$A$1:$A$1001,customers!$C$1:$C$1001,))</f>
        <v>abrashda@plala.or.jp</v>
      </c>
      <c r="H480" s="2" t="str" cm="1">
        <f t="array" ref="H480">_xlfn.XLOOKUP(C480,customers!$A$1:$A$1001,customers!$G$1:$G$1001,customers!A479:H1452)</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7">
        <f t="shared" si="21"/>
        <v>53.699999999999996</v>
      </c>
      <c r="N480" t="str">
        <f t="shared" si="22"/>
        <v>Robusta</v>
      </c>
      <c r="O480" t="str">
        <f t="shared" si="23"/>
        <v>Dark</v>
      </c>
      <c r="P480" t="str">
        <f>_xlfn.XLOOKUP(C480,customers!$A$1:$A$1001,customers!$I$1:$I$1001,0)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IF(_xlfn.XLOOKUP(C481,customers!$A$1:$A$1001,customers!$C$1:$C$1001,)=0,"",_xlfn.XLOOKUP(C481,customers!$A$1:$A$1001,customers!$C$1:$C$1001,))</f>
        <v>abrashda@plala.or.jp</v>
      </c>
      <c r="H481" s="2" t="str" cm="1">
        <f t="array" ref="H481">_xlfn.XLOOKUP(C481,customers!$A$1:$A$1001,customers!$G$1:$G$1001,customers!A480:H1453)</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7">
        <f t="shared" si="21"/>
        <v>126.49999999999999</v>
      </c>
      <c r="N481" t="str">
        <f t="shared" si="22"/>
        <v>Excelsa</v>
      </c>
      <c r="O481" t="str">
        <f t="shared" si="23"/>
        <v>Medium</v>
      </c>
      <c r="P481" t="str">
        <f>_xlfn.XLOOKUP(C481,customers!$A$1:$A$1001,customers!$I$1:$I$1001,0)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IF(_xlfn.XLOOKUP(C482,customers!$A$1:$A$1001,customers!$C$1:$C$1001,)=0,"",_xlfn.XLOOKUP(C482,customers!$A$1:$A$1001,customers!$C$1:$C$1001,))</f>
        <v>abrashda@plala.or.jp</v>
      </c>
      <c r="H482" s="2" t="str" cm="1">
        <f t="array" ref="H482">_xlfn.XLOOKUP(C482,customers!$A$1:$A$1001,customers!$G$1:$G$1001,customers!A481:H1454)</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7">
        <f t="shared" si="21"/>
        <v>4.125</v>
      </c>
      <c r="N482" t="str">
        <f t="shared" si="22"/>
        <v>Excelsa</v>
      </c>
      <c r="O482" t="str">
        <f t="shared" si="23"/>
        <v>Medium</v>
      </c>
      <c r="P482" t="str">
        <f>_xlfn.XLOOKUP(C482,customers!$A$1:$A$1001,customers!$I$1:$I$1001,0)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IF(_xlfn.XLOOKUP(C483,customers!$A$1:$A$1001,customers!$C$1:$C$1001,)=0,"",_xlfn.XLOOKUP(C483,customers!$A$1:$A$1001,customers!$C$1:$C$1001,))</f>
        <v>nizhakovdd@aol.com</v>
      </c>
      <c r="H483" s="2" t="str" cm="1">
        <f t="array" ref="H483">_xlfn.XLOOKUP(C483,customers!$A$1:$A$1001,customers!$G$1:$G$1001,customers!A482:H1455)</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7">
        <f t="shared" si="21"/>
        <v>23.9</v>
      </c>
      <c r="N483" t="str">
        <f t="shared" si="22"/>
        <v>Robusta</v>
      </c>
      <c r="O483" t="str">
        <f t="shared" si="23"/>
        <v>Large</v>
      </c>
      <c r="P483" t="str">
        <f>_xlfn.XLOOKUP(C483,customers!$A$1:$A$1001,customers!$I$1:$I$1001,0)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IF(_xlfn.XLOOKUP(C484,customers!$A$1:$A$1001,customers!$C$1:$C$1001,)=0,"",_xlfn.XLOOKUP(C484,customers!$A$1:$A$1001,customers!$C$1:$C$1001,))</f>
        <v>skeetsde@answers.com</v>
      </c>
      <c r="H484" s="2" t="str" cm="1">
        <f t="array" ref="H484">_xlfn.XLOOKUP(C484,customers!$A$1:$A$1001,customers!$G$1:$G$1001,customers!A483:H1456)</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7">
        <f t="shared" si="21"/>
        <v>139.72499999999999</v>
      </c>
      <c r="N484" t="str">
        <f t="shared" si="22"/>
        <v>Excelsa</v>
      </c>
      <c r="O484" t="str">
        <f t="shared" si="23"/>
        <v>Dark</v>
      </c>
      <c r="P484" t="str">
        <f>_xlfn.XLOOKUP(C484,customers!$A$1:$A$1001,customers!$I$1:$I$1001,0)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IF(_xlfn.XLOOKUP(C485,customers!$A$1:$A$1001,customers!$C$1:$C$1001,)=0,"",_xlfn.XLOOKUP(C485,customers!$A$1:$A$1001,customers!$C$1:$C$1001,))</f>
        <v/>
      </c>
      <c r="H485" s="2" t="str" cm="1">
        <f t="array" ref="H485">_xlfn.XLOOKUP(C485,customers!$A$1:$A$1001,customers!$G$1:$G$1001,customers!A484:H1457)</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7">
        <f t="shared" si="21"/>
        <v>59.569999999999993</v>
      </c>
      <c r="N485" t="str">
        <f t="shared" si="22"/>
        <v>Librica</v>
      </c>
      <c r="O485" t="str">
        <f t="shared" si="23"/>
        <v>Dark</v>
      </c>
      <c r="P485" t="str">
        <f>_xlfn.XLOOKUP(C485,customers!$A$1:$A$1001,customers!$I$1:$I$1001,0)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IF(_xlfn.XLOOKUP(C486,customers!$A$1:$A$1001,customers!$C$1:$C$1001,)=0,"",_xlfn.XLOOKUP(C486,customers!$A$1:$A$1001,customers!$C$1:$C$1001,))</f>
        <v>kcakedg@huffingtonpost.com</v>
      </c>
      <c r="H486" s="2" t="str" cm="1">
        <f t="array" ref="H486">_xlfn.XLOOKUP(C486,customers!$A$1:$A$1001,customers!$G$1:$G$1001,customers!A485:H1458)</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7">
        <f t="shared" si="21"/>
        <v>57.06</v>
      </c>
      <c r="N486" t="str">
        <f t="shared" si="22"/>
        <v>Librica</v>
      </c>
      <c r="O486" t="str">
        <f t="shared" si="23"/>
        <v>Large</v>
      </c>
      <c r="P486" t="str">
        <f>_xlfn.XLOOKUP(C486,customers!$A$1:$A$1001,customers!$I$1:$I$1001,0)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IF(_xlfn.XLOOKUP(C487,customers!$A$1:$A$1001,customers!$C$1:$C$1001,)=0,"",_xlfn.XLOOKUP(C487,customers!$A$1:$A$1001,customers!$C$1:$C$1001,))</f>
        <v>mhanseddh@instagram.com</v>
      </c>
      <c r="H487" s="2" t="str" cm="1">
        <f t="array" ref="H487">_xlfn.XLOOKUP(C487,customers!$A$1:$A$1001,customers!$G$1:$G$1001,customers!A486:H1459)</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7">
        <f t="shared" si="21"/>
        <v>21.509999999999998</v>
      </c>
      <c r="N487" t="str">
        <f t="shared" si="22"/>
        <v>Robusta</v>
      </c>
      <c r="O487" t="str">
        <f t="shared" si="23"/>
        <v>Large</v>
      </c>
      <c r="P487" t="str">
        <f>_xlfn.XLOOKUP(C487,customers!$A$1:$A$1001,customers!$I$1:$I$1001,0)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IF(_xlfn.XLOOKUP(C488,customers!$A$1:$A$1001,customers!$C$1:$C$1001,)=0,"",_xlfn.XLOOKUP(C488,customers!$A$1:$A$1001,customers!$C$1:$C$1001,))</f>
        <v>fkienleindi@trellian.com</v>
      </c>
      <c r="H488" s="2" t="str" cm="1">
        <f t="array" ref="H488">_xlfn.XLOOKUP(C488,customers!$A$1:$A$1001,customers!$G$1:$G$1001,customers!A487:H1460)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7">
        <f t="shared" si="21"/>
        <v>52.38</v>
      </c>
      <c r="N488" t="str">
        <f t="shared" si="22"/>
        <v>Librica</v>
      </c>
      <c r="O488" t="str">
        <f t="shared" si="23"/>
        <v>Medium</v>
      </c>
      <c r="P488" t="str">
        <f>_xlfn.XLOOKUP(C488,customers!$A$1:$A$1001,customers!$I$1:$I$1001,0)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IF(_xlfn.XLOOKUP(C489,customers!$A$1:$A$1001,customers!$C$1:$C$1001,)=0,"",_xlfn.XLOOKUP(C489,customers!$A$1:$A$1001,customers!$C$1:$C$1001,))</f>
        <v>kegglestonedj@sphinn.com</v>
      </c>
      <c r="H489" s="2" t="str" cm="1">
        <f t="array" ref="H489">_xlfn.XLOOKUP(C489,customers!$A$1:$A$1001,customers!$G$1:$G$1001,customers!A488:H1461)</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7">
        <f t="shared" si="21"/>
        <v>72.900000000000006</v>
      </c>
      <c r="N489" t="str">
        <f t="shared" si="22"/>
        <v>Excelsa</v>
      </c>
      <c r="O489" t="str">
        <f t="shared" si="23"/>
        <v>Dark</v>
      </c>
      <c r="P489" t="str">
        <f>_xlfn.XLOOKUP(C489,customers!$A$1:$A$1001,customers!$I$1:$I$1001,0)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IF(_xlfn.XLOOKUP(C490,customers!$A$1:$A$1001,customers!$C$1:$C$1001,)=0,"",_xlfn.XLOOKUP(C490,customers!$A$1:$A$1001,customers!$C$1:$C$1001,))</f>
        <v>bsemkinsdk@unc.edu</v>
      </c>
      <c r="H490" s="2" t="str" cm="1">
        <f t="array" ref="H490">_xlfn.XLOOKUP(C490,customers!$A$1:$A$1001,customers!$G$1:$G$1001,customers!A489:H1462)</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7">
        <f t="shared" si="21"/>
        <v>14.924999999999999</v>
      </c>
      <c r="N490" t="str">
        <f t="shared" si="22"/>
        <v>Robusta</v>
      </c>
      <c r="O490" t="str">
        <f t="shared" si="23"/>
        <v>Medium</v>
      </c>
      <c r="P490" t="str">
        <f>_xlfn.XLOOKUP(C490,customers!$A$1:$A$1001,customers!$I$1:$I$1001,0)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IF(_xlfn.XLOOKUP(C491,customers!$A$1:$A$1001,customers!$C$1:$C$1001,)=0,"",_xlfn.XLOOKUP(C491,customers!$A$1:$A$1001,customers!$C$1:$C$1001,))</f>
        <v>slorenzettidl@is.gd</v>
      </c>
      <c r="H491" s="2" t="str" cm="1">
        <f t="array" ref="H491">_xlfn.XLOOKUP(C491,customers!$A$1:$A$1001,customers!$G$1:$G$1001,customers!A490:H1463)</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7">
        <f t="shared" si="21"/>
        <v>95.1</v>
      </c>
      <c r="N491" t="str">
        <f t="shared" si="22"/>
        <v>Librica</v>
      </c>
      <c r="O491" t="str">
        <f t="shared" si="23"/>
        <v>Large</v>
      </c>
      <c r="P491" t="str">
        <f>_xlfn.XLOOKUP(C491,customers!$A$1:$A$1001,customers!$I$1:$I$1001,0)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IF(_xlfn.XLOOKUP(C492,customers!$A$1:$A$1001,customers!$C$1:$C$1001,)=0,"",_xlfn.XLOOKUP(C492,customers!$A$1:$A$1001,customers!$C$1:$C$1001,))</f>
        <v>bgiannazzidm@apple.com</v>
      </c>
      <c r="H492" s="2" t="str" cm="1">
        <f t="array" ref="H492">_xlfn.XLOOKUP(C492,customers!$A$1:$A$1001,customers!$G$1:$G$1001,customers!A491:H1464)</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7">
        <f t="shared" si="21"/>
        <v>15.54</v>
      </c>
      <c r="N492" t="str">
        <f t="shared" si="22"/>
        <v>Librica</v>
      </c>
      <c r="O492" t="str">
        <f t="shared" si="23"/>
        <v>Dark</v>
      </c>
      <c r="P492" t="str">
        <f>_xlfn.XLOOKUP(C492,customers!$A$1:$A$1001,customers!$I$1:$I$1001,0)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IF(_xlfn.XLOOKUP(C493,customers!$A$1:$A$1001,customers!$C$1:$C$1001,)=0,"",_xlfn.XLOOKUP(C493,customers!$A$1:$A$1001,customers!$C$1:$C$1001,))</f>
        <v/>
      </c>
      <c r="H493" s="2" t="str" cm="1">
        <f t="array" ref="H493">_xlfn.XLOOKUP(C493,customers!$A$1:$A$1001,customers!$G$1:$G$1001,customers!A492:H1465)</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7">
        <f t="shared" si="21"/>
        <v>23.31</v>
      </c>
      <c r="N493" t="str">
        <f t="shared" si="22"/>
        <v>Librica</v>
      </c>
      <c r="O493" t="str">
        <f t="shared" si="23"/>
        <v>Dark</v>
      </c>
      <c r="P493" t="str">
        <f>_xlfn.XLOOKUP(C493,customers!$A$1:$A$1001,customers!$I$1:$I$1001,0)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IF(_xlfn.XLOOKUP(C494,customers!$A$1:$A$1001,customers!$C$1:$C$1001,)=0,"",_xlfn.XLOOKUP(C494,customers!$A$1:$A$1001,customers!$C$1:$C$1001,))</f>
        <v>ulethbrigdo@hc360.com</v>
      </c>
      <c r="H494" s="2" t="str" cm="1">
        <f t="array" ref="H494">_xlfn.XLOOKUP(C494,customers!$A$1:$A$1001,customers!$G$1:$G$1001,customers!A493:H1466)</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7">
        <f t="shared" si="21"/>
        <v>4.125</v>
      </c>
      <c r="N494" t="str">
        <f t="shared" si="22"/>
        <v>Excelsa</v>
      </c>
      <c r="O494" t="str">
        <f t="shared" si="23"/>
        <v>Medium</v>
      </c>
      <c r="P494" t="str">
        <f>_xlfn.XLOOKUP(C494,customers!$A$1:$A$1001,customers!$I$1:$I$1001,0)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IF(_xlfn.XLOOKUP(C495,customers!$A$1:$A$1001,customers!$C$1:$C$1001,)=0,"",_xlfn.XLOOKUP(C495,customers!$A$1:$A$1001,customers!$C$1:$C$1001,))</f>
        <v>sfarnishdp@dmoz.org</v>
      </c>
      <c r="H495" s="2" t="str" cm="1">
        <f t="array" ref="H495">_xlfn.XLOOKUP(C495,customers!$A$1:$A$1001,customers!$G$1:$G$1001,customers!A494:H1467)</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7">
        <f t="shared" si="21"/>
        <v>35.82</v>
      </c>
      <c r="N495" t="str">
        <f t="shared" si="22"/>
        <v>Robusta</v>
      </c>
      <c r="O495" t="str">
        <f t="shared" si="23"/>
        <v>Medium</v>
      </c>
      <c r="P495" t="str">
        <f>_xlfn.XLOOKUP(C495,customers!$A$1:$A$1001,customers!$I$1:$I$1001,0)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IF(_xlfn.XLOOKUP(C496,customers!$A$1:$A$1001,customers!$C$1:$C$1001,)=0,"",_xlfn.XLOOKUP(C496,customers!$A$1:$A$1001,customers!$C$1:$C$1001,))</f>
        <v>fjecockdq@unicef.org</v>
      </c>
      <c r="H496" s="2" t="str" cm="1">
        <f t="array" ref="H496">_xlfn.XLOOKUP(C496,customers!$A$1:$A$1001,customers!$G$1:$G$1001,customers!A495:H1468)</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7">
        <f t="shared" si="21"/>
        <v>31.7</v>
      </c>
      <c r="N496" t="str">
        <f t="shared" si="22"/>
        <v>Librica</v>
      </c>
      <c r="O496" t="str">
        <f t="shared" si="23"/>
        <v>Large</v>
      </c>
      <c r="P496" t="str">
        <f>_xlfn.XLOOKUP(C496,customers!$A$1:$A$1001,customers!$I$1:$I$1001,0)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IF(_xlfn.XLOOKUP(C497,customers!$A$1:$A$1001,customers!$C$1:$C$1001,)=0,"",_xlfn.XLOOKUP(C497,customers!$A$1:$A$1001,customers!$C$1:$C$1001,))</f>
        <v/>
      </c>
      <c r="H497" s="2" t="str" cm="1">
        <f t="array" ref="H497">_xlfn.XLOOKUP(C497,customers!$A$1:$A$1001,customers!$G$1:$G$1001,customers!A496:H1469)</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7">
        <f t="shared" si="21"/>
        <v>79.25</v>
      </c>
      <c r="N497" t="str">
        <f t="shared" si="22"/>
        <v>Librica</v>
      </c>
      <c r="O497" t="str">
        <f t="shared" si="23"/>
        <v>Large</v>
      </c>
      <c r="P497" t="str">
        <f>_xlfn.XLOOKUP(C497,customers!$A$1:$A$1001,customers!$I$1:$I$1001,0)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IF(_xlfn.XLOOKUP(C498,customers!$A$1:$A$1001,customers!$C$1:$C$1001,)=0,"",_xlfn.XLOOKUP(C498,customers!$A$1:$A$1001,customers!$C$1:$C$1001,))</f>
        <v>hpallisterds@ning.com</v>
      </c>
      <c r="H498" s="2" t="str" cm="1">
        <f t="array" ref="H498">_xlfn.XLOOKUP(C498,customers!$A$1:$A$1001,customers!$G$1:$G$1001,customers!A497:H1470)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7">
        <f t="shared" si="21"/>
        <v>10.935</v>
      </c>
      <c r="N498" t="str">
        <f t="shared" si="22"/>
        <v>Excelsa</v>
      </c>
      <c r="O498" t="str">
        <f t="shared" si="23"/>
        <v>Dark</v>
      </c>
      <c r="P498" t="str">
        <f>_xlfn.XLOOKUP(C498,customers!$A$1:$A$1001,customers!$I$1:$I$1001,0)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IF(_xlfn.XLOOKUP(C499,customers!$A$1:$A$1001,customers!$C$1:$C$1001,)=0,"",_xlfn.XLOOKUP(C499,customers!$A$1:$A$1001,customers!$C$1:$C$1001,))</f>
        <v>cmershdt@drupal.org</v>
      </c>
      <c r="H499" s="2" t="str" cm="1">
        <f t="array" ref="H499">_xlfn.XLOOKUP(C499,customers!$A$1:$A$1001,customers!$G$1:$G$1001,customers!A498:H1471)</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7">
        <f t="shared" si="21"/>
        <v>39.799999999999997</v>
      </c>
      <c r="N499" t="str">
        <f t="shared" si="22"/>
        <v>Arabic</v>
      </c>
      <c r="O499" t="str">
        <f t="shared" si="23"/>
        <v>Dark</v>
      </c>
      <c r="P499" t="str">
        <f>_xlfn.XLOOKUP(C499,customers!$A$1:$A$1001,customers!$I$1:$I$1001,0)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IF(_xlfn.XLOOKUP(C500,customers!$A$1:$A$1001,customers!$C$1:$C$1001,)=0,"",_xlfn.XLOOKUP(C500,customers!$A$1:$A$1001,customers!$C$1:$C$1001,))</f>
        <v>murione5@alexa.com</v>
      </c>
      <c r="H500" s="2" t="str" cm="1">
        <f t="array" ref="H500">_xlfn.XLOOKUP(C500,customers!$A$1:$A$1001,customers!$G$1:$G$1001,customers!A499:H1472)</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7">
        <f t="shared" si="21"/>
        <v>49.75</v>
      </c>
      <c r="N500" t="str">
        <f t="shared" si="22"/>
        <v>Robusta</v>
      </c>
      <c r="O500" t="str">
        <f t="shared" si="23"/>
        <v>Medium</v>
      </c>
      <c r="P500" t="str">
        <f>_xlfn.XLOOKUP(C500,customers!$A$1:$A$1001,customers!$I$1:$I$1001,0)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IF(_xlfn.XLOOKUP(C501,customers!$A$1:$A$1001,customers!$C$1:$C$1001,)=0,"",_xlfn.XLOOKUP(C501,customers!$A$1:$A$1001,customers!$C$1:$C$1001,))</f>
        <v/>
      </c>
      <c r="H501" s="2" t="str" cm="1">
        <f t="array" ref="H501">_xlfn.XLOOKUP(C501,customers!$A$1:$A$1001,customers!$G$1:$G$1001,customers!A500:H1473)</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7">
        <f t="shared" si="21"/>
        <v>8.0549999999999997</v>
      </c>
      <c r="N501" t="str">
        <f t="shared" si="22"/>
        <v>Robusta</v>
      </c>
      <c r="O501" t="str">
        <f t="shared" si="23"/>
        <v>Dark</v>
      </c>
      <c r="P501" t="str">
        <f>_xlfn.XLOOKUP(C501,customers!$A$1:$A$1001,customers!$I$1:$I$1001,0)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IF(_xlfn.XLOOKUP(C502,customers!$A$1:$A$1001,customers!$C$1:$C$1001,)=0,"",_xlfn.XLOOKUP(C502,customers!$A$1:$A$1001,customers!$C$1:$C$1001,))</f>
        <v/>
      </c>
      <c r="H502" s="2" t="str" cm="1">
        <f t="array" ref="H502">_xlfn.XLOOKUP(C502,customers!$A$1:$A$1001,customers!$G$1:$G$1001,customers!A501:H1474)</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7">
        <f t="shared" si="21"/>
        <v>47.8</v>
      </c>
      <c r="N502" t="str">
        <f t="shared" si="22"/>
        <v>Robusta</v>
      </c>
      <c r="O502" t="str">
        <f t="shared" si="23"/>
        <v>Large</v>
      </c>
      <c r="P502" t="str">
        <f>_xlfn.XLOOKUP(C502,customers!$A$1:$A$1001,customers!$I$1:$I$1001,0)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IF(_xlfn.XLOOKUP(C503,customers!$A$1:$A$1001,customers!$C$1:$C$1001,)=0,"",_xlfn.XLOOKUP(C503,customers!$A$1:$A$1001,customers!$C$1:$C$1001,))</f>
        <v>gduckerdx@patch.com</v>
      </c>
      <c r="H503" s="2" t="str" cm="1">
        <f t="array" ref="H503">_xlfn.XLOOKUP(C503,customers!$A$1:$A$1001,customers!$G$1:$G$1001,customers!A502:H1475)</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7">
        <f t="shared" si="21"/>
        <v>11.94</v>
      </c>
      <c r="N503" t="str">
        <f t="shared" si="22"/>
        <v>Robusta</v>
      </c>
      <c r="O503" t="str">
        <f t="shared" si="23"/>
        <v>Medium</v>
      </c>
      <c r="P503" t="str">
        <f>_xlfn.XLOOKUP(C503,customers!$A$1:$A$1001,customers!$I$1:$I$1001,0)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IF(_xlfn.XLOOKUP(C504,customers!$A$1:$A$1001,customers!$C$1:$C$1001,)=0,"",_xlfn.XLOOKUP(C504,customers!$A$1:$A$1001,customers!$C$1:$C$1001,))</f>
        <v>gduckerdx@patch.com</v>
      </c>
      <c r="H504" s="2" t="str" cm="1">
        <f t="array" ref="H504">_xlfn.XLOOKUP(C504,customers!$A$1:$A$1001,customers!$G$1:$G$1001,customers!A503:H1476)</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7">
        <f t="shared" si="21"/>
        <v>16.5</v>
      </c>
      <c r="N504" t="str">
        <f t="shared" si="22"/>
        <v>Excelsa</v>
      </c>
      <c r="O504" t="str">
        <f t="shared" si="23"/>
        <v>Medium</v>
      </c>
      <c r="P504" t="str">
        <f>_xlfn.XLOOKUP(C504,customers!$A$1:$A$1001,customers!$I$1:$I$1001,0)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IF(_xlfn.XLOOKUP(C505,customers!$A$1:$A$1001,customers!$C$1:$C$1001,)=0,"",_xlfn.XLOOKUP(C505,customers!$A$1:$A$1001,customers!$C$1:$C$1001,))</f>
        <v>gduckerdx@patch.com</v>
      </c>
      <c r="H505" s="2" t="str" cm="1">
        <f t="array" ref="H505">_xlfn.XLOOKUP(C505,customers!$A$1:$A$1001,customers!$G$1:$G$1001,customers!A504:H1477)</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7">
        <f t="shared" si="21"/>
        <v>51.8</v>
      </c>
      <c r="N505" t="str">
        <f t="shared" si="22"/>
        <v>Librica</v>
      </c>
      <c r="O505" t="str">
        <f t="shared" si="23"/>
        <v>Dark</v>
      </c>
      <c r="P505" t="str">
        <f>_xlfn.XLOOKUP(C505,customers!$A$1:$A$1001,customers!$I$1:$I$1001,0)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IF(_xlfn.XLOOKUP(C506,customers!$A$1:$A$1001,customers!$C$1:$C$1001,)=0,"",_xlfn.XLOOKUP(C506,customers!$A$1:$A$1001,customers!$C$1:$C$1001,))</f>
        <v>gduckerdx@patch.com</v>
      </c>
      <c r="H506" s="2" t="str" cm="1">
        <f t="array" ref="H506">_xlfn.XLOOKUP(C506,customers!$A$1:$A$1001,customers!$G$1:$G$1001,customers!A505:H1478)</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7">
        <f t="shared" si="21"/>
        <v>14.265000000000001</v>
      </c>
      <c r="N506" t="str">
        <f t="shared" si="22"/>
        <v>Librica</v>
      </c>
      <c r="O506" t="str">
        <f t="shared" si="23"/>
        <v>Large</v>
      </c>
      <c r="P506" t="str">
        <f>_xlfn.XLOOKUP(C506,customers!$A$1:$A$1001,customers!$I$1:$I$1001,0)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IF(_xlfn.XLOOKUP(C507,customers!$A$1:$A$1001,customers!$C$1:$C$1001,)=0,"",_xlfn.XLOOKUP(C507,customers!$A$1:$A$1001,customers!$C$1:$C$1001,))</f>
        <v>wstearleye1@census.gov</v>
      </c>
      <c r="H507" s="2" t="str" cm="1">
        <f t="array" ref="H507">_xlfn.XLOOKUP(C507,customers!$A$1:$A$1001,customers!$G$1:$G$1001,customers!A506:H1479)</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7">
        <f t="shared" si="21"/>
        <v>26.19</v>
      </c>
      <c r="N507" t="str">
        <f t="shared" si="22"/>
        <v>Librica</v>
      </c>
      <c r="O507" t="str">
        <f t="shared" si="23"/>
        <v>Medium</v>
      </c>
      <c r="P507" t="str">
        <f>_xlfn.XLOOKUP(C507,customers!$A$1:$A$1001,customers!$I$1:$I$1001,0)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IF(_xlfn.XLOOKUP(C508,customers!$A$1:$A$1001,customers!$C$1:$C$1001,)=0,"",_xlfn.XLOOKUP(C508,customers!$A$1:$A$1001,customers!$C$1:$C$1001,))</f>
        <v>dwincere2@marriott.com</v>
      </c>
      <c r="H508" s="2" t="str" cm="1">
        <f t="array" ref="H508">_xlfn.XLOOKUP(C508,customers!$A$1:$A$1001,customers!$G$1:$G$1001,customers!A507:H1480)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7">
        <f t="shared" si="21"/>
        <v>25.9</v>
      </c>
      <c r="N508" t="str">
        <f t="shared" si="22"/>
        <v>Arabic</v>
      </c>
      <c r="O508" t="str">
        <f t="shared" si="23"/>
        <v>Large</v>
      </c>
      <c r="P508" t="str">
        <f>_xlfn.XLOOKUP(C508,customers!$A$1:$A$1001,customers!$I$1:$I$1001,0)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IF(_xlfn.XLOOKUP(C509,customers!$A$1:$A$1001,customers!$C$1:$C$1001,)=0,"",_xlfn.XLOOKUP(C509,customers!$A$1:$A$1001,customers!$C$1:$C$1001,))</f>
        <v>plyfielde3@baidu.com</v>
      </c>
      <c r="H509" s="2" t="str" cm="1">
        <f t="array" ref="H509">_xlfn.XLOOKUP(C509,customers!$A$1:$A$1001,customers!$G$1:$G$1001,customers!A508:H1481)</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7">
        <f t="shared" si="21"/>
        <v>89.35499999999999</v>
      </c>
      <c r="N509" t="str">
        <f t="shared" si="22"/>
        <v>Arabic</v>
      </c>
      <c r="O509" t="str">
        <f t="shared" si="23"/>
        <v>Large</v>
      </c>
      <c r="P509" t="str">
        <f>_xlfn.XLOOKUP(C509,customers!$A$1:$A$1001,customers!$I$1:$I$1001,0)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IF(_xlfn.XLOOKUP(C510,customers!$A$1:$A$1001,customers!$C$1:$C$1001,)=0,"",_xlfn.XLOOKUP(C510,customers!$A$1:$A$1001,customers!$C$1:$C$1001,))</f>
        <v>hperrise4@studiopress.com</v>
      </c>
      <c r="H510" s="2" t="str" cm="1">
        <f t="array" ref="H510">_xlfn.XLOOKUP(C510,customers!$A$1:$A$1001,customers!$G$1:$G$1001,customers!A509:H1482)</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7">
        <f t="shared" si="21"/>
        <v>46.62</v>
      </c>
      <c r="N510" t="str">
        <f t="shared" si="22"/>
        <v>Librica</v>
      </c>
      <c r="O510" t="str">
        <f t="shared" si="23"/>
        <v>Dark</v>
      </c>
      <c r="P510" t="str">
        <f>_xlfn.XLOOKUP(C510,customers!$A$1:$A$1001,customers!$I$1:$I$1001,0)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IF(_xlfn.XLOOKUP(C511,customers!$A$1:$A$1001,customers!$C$1:$C$1001,)=0,"",_xlfn.XLOOKUP(C511,customers!$A$1:$A$1001,customers!$C$1:$C$1001,))</f>
        <v>murione5@alexa.com</v>
      </c>
      <c r="H511" s="2" t="str" cm="1">
        <f t="array" ref="H511">_xlfn.XLOOKUP(C511,customers!$A$1:$A$1001,customers!$G$1:$G$1001,customers!A510:H1483)</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7">
        <f t="shared" si="21"/>
        <v>29.849999999999998</v>
      </c>
      <c r="N511" t="str">
        <f t="shared" si="22"/>
        <v>Arabic</v>
      </c>
      <c r="O511" t="str">
        <f t="shared" si="23"/>
        <v>Dark</v>
      </c>
      <c r="P511" t="str">
        <f>_xlfn.XLOOKUP(C511,customers!$A$1:$A$1001,customers!$I$1:$I$1001,0)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IF(_xlfn.XLOOKUP(C512,customers!$A$1:$A$1001,customers!$C$1:$C$1001,)=0,"",_xlfn.XLOOKUP(C512,customers!$A$1:$A$1001,customers!$C$1:$C$1001,))</f>
        <v>ckide6@narod.ru</v>
      </c>
      <c r="H512" s="2" t="str" cm="1">
        <f t="array" ref="H512">_xlfn.XLOOKUP(C512,customers!$A$1:$A$1001,customers!$G$1:$G$1001,customers!A511:H1484)</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7">
        <f t="shared" si="21"/>
        <v>10.754999999999999</v>
      </c>
      <c r="N512" t="str">
        <f t="shared" si="22"/>
        <v>Robusta</v>
      </c>
      <c r="O512" t="str">
        <f t="shared" si="23"/>
        <v>Large</v>
      </c>
      <c r="P512" t="str">
        <f>_xlfn.XLOOKUP(C512,customers!$A$1:$A$1001,customers!$I$1:$I$1001,0)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IF(_xlfn.XLOOKUP(C513,customers!$A$1:$A$1001,customers!$C$1:$C$1001,)=0,"",_xlfn.XLOOKUP(C513,customers!$A$1:$A$1001,customers!$C$1:$C$1001,))</f>
        <v>cbeinee7@xinhuanet.com</v>
      </c>
      <c r="H513" s="2" t="str" cm="1">
        <f t="array" ref="H513">_xlfn.XLOOKUP(C513,customers!$A$1:$A$1001,customers!$G$1:$G$1001,customers!A512:H1485)</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7">
        <f t="shared" si="21"/>
        <v>13.5</v>
      </c>
      <c r="N513" t="str">
        <f t="shared" si="22"/>
        <v>Arabic</v>
      </c>
      <c r="O513" t="str">
        <f t="shared" si="23"/>
        <v>Medium</v>
      </c>
      <c r="P513" t="str">
        <f>_xlfn.XLOOKUP(C513,customers!$A$1:$A$1001,customers!$I$1:$I$1001,0)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IF(_xlfn.XLOOKUP(C514,customers!$A$1:$A$1001,customers!$C$1:$C$1001,)=0,"",_xlfn.XLOOKUP(C514,customers!$A$1:$A$1001,customers!$C$1:$C$1001,))</f>
        <v>cbakeupe8@globo.com</v>
      </c>
      <c r="H514" s="2" t="str" cm="1">
        <f t="array" ref="H514">_xlfn.XLOOKUP(C514,customers!$A$1:$A$1001,customers!$G$1:$G$1001,customers!A513:H1486)</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7">
        <f t="shared" si="21"/>
        <v>47.55</v>
      </c>
      <c r="N514" t="str">
        <f t="shared" si="22"/>
        <v>Librica</v>
      </c>
      <c r="O514" t="str">
        <f t="shared" si="23"/>
        <v>Large</v>
      </c>
      <c r="P514" t="str">
        <f>_xlfn.XLOOKUP(C514,customers!$A$1:$A$1001,customers!$I$1:$I$1001,0)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IF(_xlfn.XLOOKUP(C515,customers!$A$1:$A$1001,customers!$C$1:$C$1001,)=0,"",_xlfn.XLOOKUP(C515,customers!$A$1:$A$1001,customers!$C$1:$C$1001,))</f>
        <v>nhelkine9@example.com</v>
      </c>
      <c r="H515" s="2" t="str" cm="1">
        <f t="array" ref="H515">_xlfn.XLOOKUP(C515,customers!$A$1:$A$1001,customers!$G$1:$G$1001,customers!A514:H1487)</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7">
        <f t="shared" ref="M515:M578" si="24">L515*E515</f>
        <v>79.25</v>
      </c>
      <c r="N515" t="str">
        <f t="shared" ref="N515:N578" si="25">IF(I515="Rob","Robusta",IF(I515="Exc","Excelsa",IF(I515="Ara","Arabic",IF(I515="Lib","Librica"))))</f>
        <v>Librica</v>
      </c>
      <c r="O515" t="str">
        <f t="shared" ref="O515:O578" si="26">IF(J515="M","Medium",IF(J515="L","Large",IF(J515="D","Dark")))</f>
        <v>Large</v>
      </c>
      <c r="P515" t="str">
        <f>_xlfn.XLOOKUP(C515,customers!$A$1:$A$1001,customers!$I$1:$I$1001,0)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IF(_xlfn.XLOOKUP(C516,customers!$A$1:$A$1001,customers!$C$1:$C$1001,)=0,"",_xlfn.XLOOKUP(C516,customers!$A$1:$A$1001,customers!$C$1:$C$1001,))</f>
        <v>pwitheringtonea@networkadvertising.org</v>
      </c>
      <c r="H516" s="2" t="str" cm="1">
        <f t="array" ref="H516">_xlfn.XLOOKUP(C516,customers!$A$1:$A$1001,customers!$G$1:$G$1001,customers!A515:H1488)</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7">
        <f t="shared" si="24"/>
        <v>26.19</v>
      </c>
      <c r="N516" t="str">
        <f t="shared" si="25"/>
        <v>Librica</v>
      </c>
      <c r="O516" t="str">
        <f t="shared" si="26"/>
        <v>Medium</v>
      </c>
      <c r="P516" t="str">
        <f>_xlfn.XLOOKUP(C516,customers!$A$1:$A$1001,customers!$I$1:$I$1001,0)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IF(_xlfn.XLOOKUP(C517,customers!$A$1:$A$1001,customers!$C$1:$C$1001,)=0,"",_xlfn.XLOOKUP(C517,customers!$A$1:$A$1001,customers!$C$1:$C$1001,))</f>
        <v>ttilzeyeb@hostgator.com</v>
      </c>
      <c r="H517" s="2" t="str" cm="1">
        <f t="array" ref="H517">_xlfn.XLOOKUP(C517,customers!$A$1:$A$1001,customers!$G$1:$G$1001,customers!A516:H1489)</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7">
        <f t="shared" si="24"/>
        <v>21.509999999999998</v>
      </c>
      <c r="N517" t="str">
        <f t="shared" si="25"/>
        <v>Robusta</v>
      </c>
      <c r="O517" t="str">
        <f t="shared" si="26"/>
        <v>Large</v>
      </c>
      <c r="P517" t="str">
        <f>_xlfn.XLOOKUP(C517,customers!$A$1:$A$1001,customers!$I$1:$I$1001,0)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IF(_xlfn.XLOOKUP(C518,customers!$A$1:$A$1001,customers!$C$1:$C$1001,)=0,"",_xlfn.XLOOKUP(C518,customers!$A$1:$A$1001,customers!$C$1:$C$1001,))</f>
        <v/>
      </c>
      <c r="H518" s="2" t="str" cm="1">
        <f t="array" ref="H518">_xlfn.XLOOKUP(C518,customers!$A$1:$A$1001,customers!$G$1:$G$1001,customers!A517:H1490)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7">
        <f t="shared" si="24"/>
        <v>102.92499999999998</v>
      </c>
      <c r="N518" t="str">
        <f t="shared" si="25"/>
        <v>Robusta</v>
      </c>
      <c r="O518" t="str">
        <f t="shared" si="26"/>
        <v>Dark</v>
      </c>
      <c r="P518" t="str">
        <f>_xlfn.XLOOKUP(C518,customers!$A$1:$A$1001,customers!$I$1:$I$1001,0)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IF(_xlfn.XLOOKUP(C519,customers!$A$1:$A$1001,customers!$C$1:$C$1001,)=0,"",_xlfn.XLOOKUP(C519,customers!$A$1:$A$1001,customers!$C$1:$C$1001,))</f>
        <v/>
      </c>
      <c r="H519" s="2" t="str" cm="1">
        <f t="array" ref="H519">_xlfn.XLOOKUP(C519,customers!$A$1:$A$1001,customers!$G$1:$G$1001,customers!A518:H1491)</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7">
        <f t="shared" si="24"/>
        <v>7.77</v>
      </c>
      <c r="N519" t="str">
        <f t="shared" si="25"/>
        <v>Librica</v>
      </c>
      <c r="O519" t="str">
        <f t="shared" si="26"/>
        <v>Dark</v>
      </c>
      <c r="P519" t="str">
        <f>_xlfn.XLOOKUP(C519,customers!$A$1:$A$1001,customers!$I$1:$I$1001,0)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IF(_xlfn.XLOOKUP(C520,customers!$A$1:$A$1001,customers!$C$1:$C$1001,)=0,"",_xlfn.XLOOKUP(C520,customers!$A$1:$A$1001,customers!$C$1:$C$1001,))</f>
        <v>kimortsee@alexa.com</v>
      </c>
      <c r="H520" s="2" t="str" cm="1">
        <f t="array" ref="H520">_xlfn.XLOOKUP(C520,customers!$A$1:$A$1001,customers!$G$1:$G$1001,customers!A519:H1492)</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7">
        <f t="shared" si="24"/>
        <v>139.72499999999999</v>
      </c>
      <c r="N520" t="str">
        <f t="shared" si="25"/>
        <v>Excelsa</v>
      </c>
      <c r="O520" t="str">
        <f t="shared" si="26"/>
        <v>Dark</v>
      </c>
      <c r="P520" t="str">
        <f>_xlfn.XLOOKUP(C520,customers!$A$1:$A$1001,customers!$I$1:$I$1001,0)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IF(_xlfn.XLOOKUP(C521,customers!$A$1:$A$1001,customers!$C$1:$C$1001,)=0,"",_xlfn.XLOOKUP(C521,customers!$A$1:$A$1001,customers!$C$1:$C$1001,))</f>
        <v>murione5@alexa.com</v>
      </c>
      <c r="H521" s="2" t="str" cm="1">
        <f t="array" ref="H521">_xlfn.XLOOKUP(C521,customers!$A$1:$A$1001,customers!$G$1:$G$1001,customers!A520:H1493)</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7">
        <f t="shared" si="24"/>
        <v>11.94</v>
      </c>
      <c r="N521" t="str">
        <f t="shared" si="25"/>
        <v>Arabic</v>
      </c>
      <c r="O521" t="str">
        <f t="shared" si="26"/>
        <v>Dark</v>
      </c>
      <c r="P521" t="str">
        <f>_xlfn.XLOOKUP(C521,customers!$A$1:$A$1001,customers!$I$1:$I$1001,0)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IF(_xlfn.XLOOKUP(C522,customers!$A$1:$A$1001,customers!$C$1:$C$1001,)=0,"",_xlfn.XLOOKUP(C522,customers!$A$1:$A$1001,customers!$C$1:$C$1001,))</f>
        <v>marmisteadeg@blogtalkradio.com</v>
      </c>
      <c r="H522" s="2" t="str" cm="1">
        <f t="array" ref="H522">_xlfn.XLOOKUP(C522,customers!$A$1:$A$1001,customers!$G$1:$G$1001,customers!A521:H1494)</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7">
        <f t="shared" si="24"/>
        <v>3.8849999999999998</v>
      </c>
      <c r="N522" t="str">
        <f t="shared" si="25"/>
        <v>Librica</v>
      </c>
      <c r="O522" t="str">
        <f t="shared" si="26"/>
        <v>Dark</v>
      </c>
      <c r="P522" t="str">
        <f>_xlfn.XLOOKUP(C522,customers!$A$1:$A$1001,customers!$I$1:$I$1001,0)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IF(_xlfn.XLOOKUP(C523,customers!$A$1:$A$1001,customers!$C$1:$C$1001,)=0,"",_xlfn.XLOOKUP(C523,customers!$A$1:$A$1001,customers!$C$1:$C$1001,))</f>
        <v>marmisteadeg@blogtalkradio.com</v>
      </c>
      <c r="H523" s="2" t="str" cm="1">
        <f t="array" ref="H523">_xlfn.XLOOKUP(C523,customers!$A$1:$A$1001,customers!$G$1:$G$1001,customers!A522:H1495)</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7">
        <f t="shared" si="24"/>
        <v>39.799999999999997</v>
      </c>
      <c r="N523" t="str">
        <f t="shared" si="25"/>
        <v>Robusta</v>
      </c>
      <c r="O523" t="str">
        <f t="shared" si="26"/>
        <v>Medium</v>
      </c>
      <c r="P523" t="str">
        <f>_xlfn.XLOOKUP(C523,customers!$A$1:$A$1001,customers!$I$1:$I$1001,0)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IF(_xlfn.XLOOKUP(C524,customers!$A$1:$A$1001,customers!$C$1:$C$1001,)=0,"",_xlfn.XLOOKUP(C524,customers!$A$1:$A$1001,customers!$C$1:$C$1001,))</f>
        <v>vupstoneei@google.pl</v>
      </c>
      <c r="H524" s="2" t="str" cm="1">
        <f t="array" ref="H524">_xlfn.XLOOKUP(C524,customers!$A$1:$A$1001,customers!$G$1:$G$1001,customers!A523:H1496)</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7">
        <f t="shared" si="24"/>
        <v>29.849999999999998</v>
      </c>
      <c r="N524" t="str">
        <f t="shared" si="25"/>
        <v>Robusta</v>
      </c>
      <c r="O524" t="str">
        <f t="shared" si="26"/>
        <v>Medium</v>
      </c>
      <c r="P524" t="str">
        <f>_xlfn.XLOOKUP(C524,customers!$A$1:$A$1001,customers!$I$1:$I$1001,0)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IF(_xlfn.XLOOKUP(C525,customers!$A$1:$A$1001,customers!$C$1:$C$1001,)=0,"",_xlfn.XLOOKUP(C525,customers!$A$1:$A$1001,customers!$C$1:$C$1001,))</f>
        <v>bbeelbyej@rediff.com</v>
      </c>
      <c r="H525" s="2" t="str" cm="1">
        <f t="array" ref="H525">_xlfn.XLOOKUP(C525,customers!$A$1:$A$1001,customers!$G$1:$G$1001,customers!A524:H1497)</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7">
        <f t="shared" si="24"/>
        <v>29.784999999999997</v>
      </c>
      <c r="N525" t="str">
        <f t="shared" si="25"/>
        <v>Librica</v>
      </c>
      <c r="O525" t="str">
        <f t="shared" si="26"/>
        <v>Dark</v>
      </c>
      <c r="P525" t="str">
        <f>_xlfn.XLOOKUP(C525,customers!$A$1:$A$1001,customers!$I$1:$I$1001,0)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IF(_xlfn.XLOOKUP(C526,customers!$A$1:$A$1001,customers!$C$1:$C$1001,)=0,"",_xlfn.XLOOKUP(C526,customers!$A$1:$A$1001,customers!$C$1:$C$1001,))</f>
        <v/>
      </c>
      <c r="H526" s="2" t="str" cm="1">
        <f t="array" ref="H526">_xlfn.XLOOKUP(C526,customers!$A$1:$A$1001,customers!$G$1:$G$1001,customers!A525:H1498)</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7">
        <f t="shared" si="24"/>
        <v>72.91</v>
      </c>
      <c r="N526" t="str">
        <f t="shared" si="25"/>
        <v>Librica</v>
      </c>
      <c r="O526" t="str">
        <f t="shared" si="26"/>
        <v>Large</v>
      </c>
      <c r="P526" t="str">
        <f>_xlfn.XLOOKUP(C526,customers!$A$1:$A$1001,customers!$I$1:$I$1001,0)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IF(_xlfn.XLOOKUP(C527,customers!$A$1:$A$1001,customers!$C$1:$C$1001,)=0,"",_xlfn.XLOOKUP(C527,customers!$A$1:$A$1001,customers!$C$1:$C$1001,))</f>
        <v/>
      </c>
      <c r="H527" s="2" t="str" cm="1">
        <f t="array" ref="H527">_xlfn.XLOOKUP(C527,customers!$A$1:$A$1001,customers!$G$1:$G$1001,customers!A526:H1499)</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7">
        <f t="shared" si="24"/>
        <v>13.424999999999997</v>
      </c>
      <c r="N527" t="str">
        <f t="shared" si="25"/>
        <v>Robusta</v>
      </c>
      <c r="O527" t="str">
        <f t="shared" si="26"/>
        <v>Dark</v>
      </c>
      <c r="P527" t="str">
        <f>_xlfn.XLOOKUP(C527,customers!$A$1:$A$1001,customers!$I$1:$I$1001,0)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IF(_xlfn.XLOOKUP(C528,customers!$A$1:$A$1001,customers!$C$1:$C$1001,)=0,"",_xlfn.XLOOKUP(C528,customers!$A$1:$A$1001,customers!$C$1:$C$1001,))</f>
        <v>wspeechlyem@amazon.com</v>
      </c>
      <c r="H528" s="2" t="str" cm="1">
        <f t="array" ref="H528">_xlfn.XLOOKUP(C528,customers!$A$1:$A$1001,customers!$G$1:$G$1001,customers!A527:H1500)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7">
        <f t="shared" si="24"/>
        <v>126.49999999999999</v>
      </c>
      <c r="N528" t="str">
        <f t="shared" si="25"/>
        <v>Excelsa</v>
      </c>
      <c r="O528" t="str">
        <f t="shared" si="26"/>
        <v>Medium</v>
      </c>
      <c r="P528" t="str">
        <f>_xlfn.XLOOKUP(C528,customers!$A$1:$A$1001,customers!$I$1:$I$1001,0)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IF(_xlfn.XLOOKUP(C529,customers!$A$1:$A$1001,customers!$C$1:$C$1001,)=0,"",_xlfn.XLOOKUP(C529,customers!$A$1:$A$1001,customers!$C$1:$C$1001,))</f>
        <v>iphillpoten@buzzfeed.com</v>
      </c>
      <c r="H529" s="2" t="str" cm="1">
        <f t="array" ref="H529">_xlfn.XLOOKUP(C529,customers!$A$1:$A$1001,customers!$G$1:$G$1001,customers!A528:H1501)</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7">
        <f t="shared" si="24"/>
        <v>41.25</v>
      </c>
      <c r="N529" t="str">
        <f t="shared" si="25"/>
        <v>Excelsa</v>
      </c>
      <c r="O529" t="str">
        <f t="shared" si="26"/>
        <v>Medium</v>
      </c>
      <c r="P529" t="str">
        <f>_xlfn.XLOOKUP(C529,customers!$A$1:$A$1001,customers!$I$1:$I$1001,0)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IF(_xlfn.XLOOKUP(C530,customers!$A$1:$A$1001,customers!$C$1:$C$1001,)=0,"",_xlfn.XLOOKUP(C530,customers!$A$1:$A$1001,customers!$C$1:$C$1001,))</f>
        <v>lpennaccieo@statcounter.com</v>
      </c>
      <c r="H530" s="2" t="str" cm="1">
        <f t="array" ref="H530">_xlfn.XLOOKUP(C530,customers!$A$1:$A$1001,customers!$G$1:$G$1001,customers!A529:H1502)</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7">
        <f t="shared" si="24"/>
        <v>53.46</v>
      </c>
      <c r="N530" t="str">
        <f t="shared" si="25"/>
        <v>Excelsa</v>
      </c>
      <c r="O530" t="str">
        <f t="shared" si="26"/>
        <v>Large</v>
      </c>
      <c r="P530" t="str">
        <f>_xlfn.XLOOKUP(C530,customers!$A$1:$A$1001,customers!$I$1:$I$1001,0)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IF(_xlfn.XLOOKUP(C531,customers!$A$1:$A$1001,customers!$C$1:$C$1001,)=0,"",_xlfn.XLOOKUP(C531,customers!$A$1:$A$1001,customers!$C$1:$C$1001,))</f>
        <v>sarpinep@moonfruit.com</v>
      </c>
      <c r="H531" s="2" t="str" cm="1">
        <f t="array" ref="H531">_xlfn.XLOOKUP(C531,customers!$A$1:$A$1001,customers!$G$1:$G$1001,customers!A530:H1503)</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7">
        <f t="shared" si="24"/>
        <v>59.699999999999996</v>
      </c>
      <c r="N531" t="str">
        <f t="shared" si="25"/>
        <v>Robusta</v>
      </c>
      <c r="O531" t="str">
        <f t="shared" si="26"/>
        <v>Medium</v>
      </c>
      <c r="P531" t="str">
        <f>_xlfn.XLOOKUP(C531,customers!$A$1:$A$1001,customers!$I$1:$I$1001,0)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IF(_xlfn.XLOOKUP(C532,customers!$A$1:$A$1001,customers!$C$1:$C$1001,)=0,"",_xlfn.XLOOKUP(C532,customers!$A$1:$A$1001,customers!$C$1:$C$1001,))</f>
        <v>dfrieseq@cargocollective.com</v>
      </c>
      <c r="H532" s="2" t="str" cm="1">
        <f t="array" ref="H532">_xlfn.XLOOKUP(C532,customers!$A$1:$A$1001,customers!$G$1:$G$1001,customers!A531:H1504)</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7">
        <f t="shared" si="24"/>
        <v>59.699999999999996</v>
      </c>
      <c r="N532" t="str">
        <f t="shared" si="25"/>
        <v>Robusta</v>
      </c>
      <c r="O532" t="str">
        <f t="shared" si="26"/>
        <v>Medium</v>
      </c>
      <c r="P532" t="str">
        <f>_xlfn.XLOOKUP(C532,customers!$A$1:$A$1001,customers!$I$1:$I$1001,0)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IF(_xlfn.XLOOKUP(C533,customers!$A$1:$A$1001,customers!$C$1:$C$1001,)=0,"",_xlfn.XLOOKUP(C533,customers!$A$1:$A$1001,customers!$C$1:$C$1001,))</f>
        <v>rsharerer@flavors.me</v>
      </c>
      <c r="H533" s="2" t="str" cm="1">
        <f t="array" ref="H533">_xlfn.XLOOKUP(C533,customers!$A$1:$A$1001,customers!$G$1:$G$1001,customers!A532:H1505)</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7">
        <f t="shared" si="24"/>
        <v>44.75</v>
      </c>
      <c r="N533" t="str">
        <f t="shared" si="25"/>
        <v>Robusta</v>
      </c>
      <c r="O533" t="str">
        <f t="shared" si="26"/>
        <v>Dark</v>
      </c>
      <c r="P533" t="str">
        <f>_xlfn.XLOOKUP(C533,customers!$A$1:$A$1001,customers!$I$1:$I$1001,0)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IF(_xlfn.XLOOKUP(C534,customers!$A$1:$A$1001,customers!$C$1:$C$1001,)=0,"",_xlfn.XLOOKUP(C534,customers!$A$1:$A$1001,customers!$C$1:$C$1001,))</f>
        <v>nnasebyes@umich.edu</v>
      </c>
      <c r="H534" s="2" t="str" cm="1">
        <f t="array" ref="H534">_xlfn.XLOOKUP(C534,customers!$A$1:$A$1001,customers!$G$1:$G$1001,customers!A533:H1506)</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7">
        <f t="shared" si="24"/>
        <v>16.5</v>
      </c>
      <c r="N534" t="str">
        <f t="shared" si="25"/>
        <v>Excelsa</v>
      </c>
      <c r="O534" t="str">
        <f t="shared" si="26"/>
        <v>Medium</v>
      </c>
      <c r="P534" t="str">
        <f>_xlfn.XLOOKUP(C534,customers!$A$1:$A$1001,customers!$I$1:$I$1001,0)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IF(_xlfn.XLOOKUP(C535,customers!$A$1:$A$1001,customers!$C$1:$C$1001,)=0,"",_xlfn.XLOOKUP(C535,customers!$A$1:$A$1001,customers!$C$1:$C$1001,))</f>
        <v/>
      </c>
      <c r="H535" s="2" t="str" cm="1">
        <f t="array" ref="H535">_xlfn.XLOOKUP(C535,customers!$A$1:$A$1001,customers!$G$1:$G$1001,customers!A534:H1507)</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7">
        <f t="shared" si="24"/>
        <v>21.479999999999997</v>
      </c>
      <c r="N535" t="str">
        <f t="shared" si="25"/>
        <v>Robusta</v>
      </c>
      <c r="O535" t="str">
        <f t="shared" si="26"/>
        <v>Dark</v>
      </c>
      <c r="P535" t="str">
        <f>_xlfn.XLOOKUP(C535,customers!$A$1:$A$1001,customers!$I$1:$I$1001,0)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IF(_xlfn.XLOOKUP(C536,customers!$A$1:$A$1001,customers!$C$1:$C$1001,)=0,"",_xlfn.XLOOKUP(C536,customers!$A$1:$A$1001,customers!$C$1:$C$1001,))</f>
        <v>koculleneu@ca.gov</v>
      </c>
      <c r="H536" s="2" t="str" cm="1">
        <f t="array" ref="H536">_xlfn.XLOOKUP(C536,customers!$A$1:$A$1001,customers!$G$1:$G$1001,customers!A535:H1508)</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7">
        <f t="shared" si="24"/>
        <v>45.769999999999996</v>
      </c>
      <c r="N536" t="str">
        <f t="shared" si="25"/>
        <v>Robusta</v>
      </c>
      <c r="O536" t="str">
        <f t="shared" si="26"/>
        <v>Medium</v>
      </c>
      <c r="P536" t="str">
        <f>_xlfn.XLOOKUP(C536,customers!$A$1:$A$1001,customers!$I$1:$I$1001,0)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IF(_xlfn.XLOOKUP(C537,customers!$A$1:$A$1001,customers!$C$1:$C$1001,)=0,"",_xlfn.XLOOKUP(C537,customers!$A$1:$A$1001,customers!$C$1:$C$1001,))</f>
        <v/>
      </c>
      <c r="H537" s="2" t="str" cm="1">
        <f t="array" ref="H537">_xlfn.XLOOKUP(C537,customers!$A$1:$A$1001,customers!$G$1:$G$1001,customers!A536:H1509)</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7">
        <f t="shared" si="24"/>
        <v>9.51</v>
      </c>
      <c r="N537" t="str">
        <f t="shared" si="25"/>
        <v>Librica</v>
      </c>
      <c r="O537" t="str">
        <f t="shared" si="26"/>
        <v>Large</v>
      </c>
      <c r="P537" t="str">
        <f>_xlfn.XLOOKUP(C537,customers!$A$1:$A$1001,customers!$I$1:$I$1001,0)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IF(_xlfn.XLOOKUP(C538,customers!$A$1:$A$1001,customers!$C$1:$C$1001,)=0,"",_xlfn.XLOOKUP(C538,customers!$A$1:$A$1001,customers!$C$1:$C$1001,))</f>
        <v>murione5@alexa.com</v>
      </c>
      <c r="H538" s="2" t="str" cm="1">
        <f t="array" ref="H538">_xlfn.XLOOKUP(C538,customers!$A$1:$A$1001,customers!$G$1:$G$1001,customers!A537:H1510)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7">
        <f t="shared" si="24"/>
        <v>8.0549999999999997</v>
      </c>
      <c r="N538" t="str">
        <f t="shared" si="25"/>
        <v>Robusta</v>
      </c>
      <c r="O538" t="str">
        <f t="shared" si="26"/>
        <v>Dark</v>
      </c>
      <c r="P538" t="str">
        <f>_xlfn.XLOOKUP(C538,customers!$A$1:$A$1001,customers!$I$1:$I$1001,0)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IF(_xlfn.XLOOKUP(C539,customers!$A$1:$A$1001,customers!$C$1:$C$1001,)=0,"",_xlfn.XLOOKUP(C539,customers!$A$1:$A$1001,customers!$C$1:$C$1001,))</f>
        <v>hbranganex@woothemes.com</v>
      </c>
      <c r="H539" s="2" t="str" cm="1">
        <f t="array" ref="H539">_xlfn.XLOOKUP(C539,customers!$A$1:$A$1001,customers!$G$1:$G$1001,customers!A538:H1511)</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7">
        <f t="shared" si="24"/>
        <v>111.78</v>
      </c>
      <c r="N539" t="str">
        <f t="shared" si="25"/>
        <v>Excelsa</v>
      </c>
      <c r="O539" t="str">
        <f t="shared" si="26"/>
        <v>Dark</v>
      </c>
      <c r="P539" t="str">
        <f>_xlfn.XLOOKUP(C539,customers!$A$1:$A$1001,customers!$I$1:$I$1001,0)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IF(_xlfn.XLOOKUP(C540,customers!$A$1:$A$1001,customers!$C$1:$C$1001,)=0,"",_xlfn.XLOOKUP(C540,customers!$A$1:$A$1001,customers!$C$1:$C$1001,))</f>
        <v>agallyoney@engadget.com</v>
      </c>
      <c r="H540" s="2" t="str" cm="1">
        <f t="array" ref="H540">_xlfn.XLOOKUP(C540,customers!$A$1:$A$1001,customers!$G$1:$G$1001,customers!A539:H1512)</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7">
        <f t="shared" si="24"/>
        <v>10.739999999999998</v>
      </c>
      <c r="N540" t="str">
        <f t="shared" si="25"/>
        <v>Robusta</v>
      </c>
      <c r="O540" t="str">
        <f t="shared" si="26"/>
        <v>Dark</v>
      </c>
      <c r="P540" t="str">
        <f>_xlfn.XLOOKUP(C540,customers!$A$1:$A$1001,customers!$I$1:$I$1001,0)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IF(_xlfn.XLOOKUP(C541,customers!$A$1:$A$1001,customers!$C$1:$C$1001,)=0,"",_xlfn.XLOOKUP(C541,customers!$A$1:$A$1001,customers!$C$1:$C$1001,))</f>
        <v>bdomangeez@yahoo.co.jp</v>
      </c>
      <c r="H541" s="2" t="str" cm="1">
        <f t="array" ref="H541">_xlfn.XLOOKUP(C541,customers!$A$1:$A$1001,customers!$G$1:$G$1001,customers!A540:H1513)</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7">
        <f t="shared" si="24"/>
        <v>26.849999999999994</v>
      </c>
      <c r="N541" t="str">
        <f t="shared" si="25"/>
        <v>Robusta</v>
      </c>
      <c r="O541" t="str">
        <f t="shared" si="26"/>
        <v>Dark</v>
      </c>
      <c r="P541" t="str">
        <f>_xlfn.XLOOKUP(C541,customers!$A$1:$A$1001,customers!$I$1:$I$1001,0)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IF(_xlfn.XLOOKUP(C542,customers!$A$1:$A$1001,customers!$C$1:$C$1001,)=0,"",_xlfn.XLOOKUP(C542,customers!$A$1:$A$1001,customers!$C$1:$C$1001,))</f>
        <v>koslerf0@gmpg.org</v>
      </c>
      <c r="H542" s="2" t="str" cm="1">
        <f t="array" ref="H542">_xlfn.XLOOKUP(C542,customers!$A$1:$A$1001,customers!$G$1:$G$1001,customers!A541:H1514)</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7">
        <f t="shared" si="24"/>
        <v>63.4</v>
      </c>
      <c r="N542" t="str">
        <f t="shared" si="25"/>
        <v>Librica</v>
      </c>
      <c r="O542" t="str">
        <f t="shared" si="26"/>
        <v>Large</v>
      </c>
      <c r="P542" t="str">
        <f>_xlfn.XLOOKUP(C542,customers!$A$1:$A$1001,customers!$I$1:$I$1001,0)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IF(_xlfn.XLOOKUP(C543,customers!$A$1:$A$1001,customers!$C$1:$C$1001,)=0,"",_xlfn.XLOOKUP(C543,customers!$A$1:$A$1001,customers!$C$1:$C$1001,))</f>
        <v/>
      </c>
      <c r="H543" s="2" t="str" cm="1">
        <f t="array" ref="H543">_xlfn.XLOOKUP(C543,customers!$A$1:$A$1001,customers!$G$1:$G$1001,customers!A542:H1515)</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7">
        <f t="shared" si="24"/>
        <v>22.884999999999998</v>
      </c>
      <c r="N543" t="str">
        <f t="shared" si="25"/>
        <v>Arabic</v>
      </c>
      <c r="O543" t="str">
        <f t="shared" si="26"/>
        <v>Dark</v>
      </c>
      <c r="P543" t="str">
        <f>_xlfn.XLOOKUP(C543,customers!$A$1:$A$1001,customers!$I$1:$I$1001,0)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IF(_xlfn.XLOOKUP(C544,customers!$A$1:$A$1001,customers!$C$1:$C$1001,)=0,"",_xlfn.XLOOKUP(C544,customers!$A$1:$A$1001,customers!$C$1:$C$1001,))</f>
        <v>zpellettf2@dailymotion.com</v>
      </c>
      <c r="H544" s="2" t="str" cm="1">
        <f t="array" ref="H544">_xlfn.XLOOKUP(C544,customers!$A$1:$A$1001,customers!$G$1:$G$1001,customers!A543:H1516)</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7">
        <f t="shared" si="24"/>
        <v>103.49999999999999</v>
      </c>
      <c r="N544" t="str">
        <f t="shared" si="25"/>
        <v>Arabic</v>
      </c>
      <c r="O544" t="str">
        <f t="shared" si="26"/>
        <v>Medium</v>
      </c>
      <c r="P544" t="str">
        <f>_xlfn.XLOOKUP(C544,customers!$A$1:$A$1001,customers!$I$1:$I$1001,0)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IF(_xlfn.XLOOKUP(C545,customers!$A$1:$A$1001,customers!$C$1:$C$1001,)=0,"",_xlfn.XLOOKUP(C545,customers!$A$1:$A$1001,customers!$C$1:$C$1001,))</f>
        <v>isprakesf3@spiegel.de</v>
      </c>
      <c r="H545" s="2" t="str" cm="1">
        <f t="array" ref="H545">_xlfn.XLOOKUP(C545,customers!$A$1:$A$1001,customers!$G$1:$G$1001,customers!A544:H1517)</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7">
        <f t="shared" si="24"/>
        <v>54.969999999999992</v>
      </c>
      <c r="N545" t="str">
        <f t="shared" si="25"/>
        <v>Robusta</v>
      </c>
      <c r="O545" t="str">
        <f t="shared" si="26"/>
        <v>Large</v>
      </c>
      <c r="P545" t="str">
        <f>_xlfn.XLOOKUP(C545,customers!$A$1:$A$1001,customers!$I$1:$I$1001,0)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IF(_xlfn.XLOOKUP(C546,customers!$A$1:$A$1001,customers!$C$1:$C$1001,)=0,"",_xlfn.XLOOKUP(C546,customers!$A$1:$A$1001,customers!$C$1:$C$1001,))</f>
        <v>hfromantf4@ucsd.edu</v>
      </c>
      <c r="H546" s="2" t="str" cm="1">
        <f t="array" ref="H546">_xlfn.XLOOKUP(C546,customers!$A$1:$A$1001,customers!$G$1:$G$1001,customers!A545:H1518)</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7">
        <f t="shared" si="24"/>
        <v>15.54</v>
      </c>
      <c r="N546" t="str">
        <f t="shared" si="25"/>
        <v>Arabic</v>
      </c>
      <c r="O546" t="str">
        <f t="shared" si="26"/>
        <v>Large</v>
      </c>
      <c r="P546" t="str">
        <f>_xlfn.XLOOKUP(C546,customers!$A$1:$A$1001,customers!$I$1:$I$1001,0)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IF(_xlfn.XLOOKUP(C547,customers!$A$1:$A$1001,customers!$C$1:$C$1001,)=0,"",_xlfn.XLOOKUP(C547,customers!$A$1:$A$1001,customers!$C$1:$C$1001,))</f>
        <v>rflearf5@artisteer.com</v>
      </c>
      <c r="H547" s="2" t="str" cm="1">
        <f t="array" ref="H547">_xlfn.XLOOKUP(C547,customers!$A$1:$A$1001,customers!$G$1:$G$1001,customers!A546:H1519)</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7">
        <f t="shared" si="24"/>
        <v>15.54</v>
      </c>
      <c r="N547" t="str">
        <f t="shared" si="25"/>
        <v>Librica</v>
      </c>
      <c r="O547" t="str">
        <f t="shared" si="26"/>
        <v>Dark</v>
      </c>
      <c r="P547" t="str">
        <f>_xlfn.XLOOKUP(C547,customers!$A$1:$A$1001,customers!$I$1:$I$1001,0)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IF(_xlfn.XLOOKUP(C548,customers!$A$1:$A$1001,customers!$C$1:$C$1001,)=0,"",_xlfn.XLOOKUP(C548,customers!$A$1:$A$1001,customers!$C$1:$C$1001,))</f>
        <v/>
      </c>
      <c r="H548" s="2" t="str" cm="1">
        <f t="array" ref="H548">_xlfn.XLOOKUP(C548,customers!$A$1:$A$1001,customers!$G$1:$G$1001,customers!A547:H1520)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7">
        <f t="shared" si="24"/>
        <v>83.835000000000008</v>
      </c>
      <c r="N548" t="str">
        <f t="shared" si="25"/>
        <v>Excelsa</v>
      </c>
      <c r="O548" t="str">
        <f t="shared" si="26"/>
        <v>Dark</v>
      </c>
      <c r="P548" t="str">
        <f>_xlfn.XLOOKUP(C548,customers!$A$1:$A$1001,customers!$I$1:$I$1001,0)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IF(_xlfn.XLOOKUP(C549,customers!$A$1:$A$1001,customers!$C$1:$C$1001,)=0,"",_xlfn.XLOOKUP(C549,customers!$A$1:$A$1001,customers!$C$1:$C$1001,))</f>
        <v>wlightollersf9@baidu.com</v>
      </c>
      <c r="H549" s="2" t="str" cm="1">
        <f t="array" ref="H549">_xlfn.XLOOKUP(C549,customers!$A$1:$A$1001,customers!$G$1:$G$1001,customers!A548:H1521)</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7">
        <f t="shared" si="24"/>
        <v>10.754999999999999</v>
      </c>
      <c r="N549" t="str">
        <f t="shared" si="25"/>
        <v>Robusta</v>
      </c>
      <c r="O549" t="str">
        <f t="shared" si="26"/>
        <v>Large</v>
      </c>
      <c r="P549" t="str">
        <f>_xlfn.XLOOKUP(C549,customers!$A$1:$A$1001,customers!$I$1:$I$1001,0)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IF(_xlfn.XLOOKUP(C550,customers!$A$1:$A$1001,customers!$C$1:$C$1001,)=0,"",_xlfn.XLOOKUP(C550,customers!$A$1:$A$1001,customers!$C$1:$C$1001,))</f>
        <v>bmundenf8@elpais.com</v>
      </c>
      <c r="H550" s="2" t="str" cm="1">
        <f t="array" ref="H550">_xlfn.XLOOKUP(C550,customers!$A$1:$A$1001,customers!$G$1:$G$1001,customers!A549:H1522)</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7">
        <f t="shared" si="24"/>
        <v>13.365</v>
      </c>
      <c r="N550" t="str">
        <f t="shared" si="25"/>
        <v>Excelsa</v>
      </c>
      <c r="O550" t="str">
        <f t="shared" si="26"/>
        <v>Large</v>
      </c>
      <c r="P550" t="str">
        <f>_xlfn.XLOOKUP(C550,customers!$A$1:$A$1001,customers!$I$1:$I$1001,0)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IF(_xlfn.XLOOKUP(C551,customers!$A$1:$A$1001,customers!$C$1:$C$1001,)=0,"",_xlfn.XLOOKUP(C551,customers!$A$1:$A$1001,customers!$C$1:$C$1001,))</f>
        <v>wlightollersf9@baidu.com</v>
      </c>
      <c r="H551" s="2" t="str" cm="1">
        <f t="array" ref="H551">_xlfn.XLOOKUP(C551,customers!$A$1:$A$1001,customers!$G$1:$G$1001,customers!A550:H1523)</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7">
        <f t="shared" si="24"/>
        <v>17.82</v>
      </c>
      <c r="N551" t="str">
        <f t="shared" si="25"/>
        <v>Excelsa</v>
      </c>
      <c r="O551" t="str">
        <f t="shared" si="26"/>
        <v>Large</v>
      </c>
      <c r="P551" t="str">
        <f>_xlfn.XLOOKUP(C551,customers!$A$1:$A$1001,customers!$I$1:$I$1001,0)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IF(_xlfn.XLOOKUP(C552,customers!$A$1:$A$1001,customers!$C$1:$C$1001,)=0,"",_xlfn.XLOOKUP(C552,customers!$A$1:$A$1001,customers!$C$1:$C$1001,))</f>
        <v>nbrakespearfa@rediff.com</v>
      </c>
      <c r="H552" s="2" t="str" cm="1">
        <f t="array" ref="H552">_xlfn.XLOOKUP(C552,customers!$A$1:$A$1001,customers!$G$1:$G$1001,customers!A551:H1524)</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7">
        <f t="shared" si="24"/>
        <v>23.31</v>
      </c>
      <c r="N552" t="str">
        <f t="shared" si="25"/>
        <v>Librica</v>
      </c>
      <c r="O552" t="str">
        <f t="shared" si="26"/>
        <v>Dark</v>
      </c>
      <c r="P552" t="str">
        <f>_xlfn.XLOOKUP(C552,customers!$A$1:$A$1001,customers!$I$1:$I$1001,0)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IF(_xlfn.XLOOKUP(C553,customers!$A$1:$A$1001,customers!$C$1:$C$1001,)=0,"",_xlfn.XLOOKUP(C553,customers!$A$1:$A$1001,customers!$C$1:$C$1001,))</f>
        <v>mglawsopfb@reverbnation.com</v>
      </c>
      <c r="H553" s="2" t="str" cm="1">
        <f t="array" ref="H553">_xlfn.XLOOKUP(C553,customers!$A$1:$A$1001,customers!$G$1:$G$1001,customers!A552:H1525)</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7">
        <f t="shared" si="24"/>
        <v>7.29</v>
      </c>
      <c r="N553" t="str">
        <f t="shared" si="25"/>
        <v>Excelsa</v>
      </c>
      <c r="O553" t="str">
        <f t="shared" si="26"/>
        <v>Dark</v>
      </c>
      <c r="P553" t="str">
        <f>_xlfn.XLOOKUP(C553,customers!$A$1:$A$1001,customers!$I$1:$I$1001,0)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IF(_xlfn.XLOOKUP(C554,customers!$A$1:$A$1001,customers!$C$1:$C$1001,)=0,"",_xlfn.XLOOKUP(C554,customers!$A$1:$A$1001,customers!$C$1:$C$1001,))</f>
        <v>galbertsfc@etsy.com</v>
      </c>
      <c r="H554" s="2" t="str" cm="1">
        <f t="array" ref="H554">_xlfn.XLOOKUP(C554,customers!$A$1:$A$1001,customers!$G$1:$G$1001,customers!A553:H1526)</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7">
        <f t="shared" si="24"/>
        <v>17.82</v>
      </c>
      <c r="N554" t="str">
        <f t="shared" si="25"/>
        <v>Excelsa</v>
      </c>
      <c r="O554" t="str">
        <f t="shared" si="26"/>
        <v>Large</v>
      </c>
      <c r="P554" t="str">
        <f>_xlfn.XLOOKUP(C554,customers!$A$1:$A$1001,customers!$I$1:$I$1001,0)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IF(_xlfn.XLOOKUP(C555,customers!$A$1:$A$1001,customers!$C$1:$C$1001,)=0,"",_xlfn.XLOOKUP(C555,customers!$A$1:$A$1001,customers!$C$1:$C$1001,))</f>
        <v>vpolglasefd@about.me</v>
      </c>
      <c r="H555" s="2" t="str" cm="1">
        <f t="array" ref="H555">_xlfn.XLOOKUP(C555,customers!$A$1:$A$1001,customers!$G$1:$G$1001,customers!A554:H1527)</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7">
        <f t="shared" si="24"/>
        <v>68.75</v>
      </c>
      <c r="N555" t="str">
        <f t="shared" si="25"/>
        <v>Excelsa</v>
      </c>
      <c r="O555" t="str">
        <f t="shared" si="26"/>
        <v>Medium</v>
      </c>
      <c r="P555" t="str">
        <f>_xlfn.XLOOKUP(C555,customers!$A$1:$A$1001,customers!$I$1:$I$1001,0)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IF(_xlfn.XLOOKUP(C556,customers!$A$1:$A$1001,customers!$C$1:$C$1001,)=0,"",_xlfn.XLOOKUP(C556,customers!$A$1:$A$1001,customers!$C$1:$C$1001,))</f>
        <v/>
      </c>
      <c r="H556" s="2" t="str" cm="1">
        <f t="array" ref="H556">_xlfn.XLOOKUP(C556,customers!$A$1:$A$1001,customers!$G$1:$G$1001,customers!A555:H1528)</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7">
        <f t="shared" si="24"/>
        <v>54.969999999999992</v>
      </c>
      <c r="N556" t="str">
        <f t="shared" si="25"/>
        <v>Robusta</v>
      </c>
      <c r="O556" t="str">
        <f t="shared" si="26"/>
        <v>Large</v>
      </c>
      <c r="P556" t="str">
        <f>_xlfn.XLOOKUP(C556,customers!$A$1:$A$1001,customers!$I$1:$I$1001,0)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IF(_xlfn.XLOOKUP(C557,customers!$A$1:$A$1001,customers!$C$1:$C$1001,)=0,"",_xlfn.XLOOKUP(C557,customers!$A$1:$A$1001,customers!$C$1:$C$1001,))</f>
        <v>sbuschff@so-net.ne.jp</v>
      </c>
      <c r="H557" s="2" t="str" cm="1">
        <f t="array" ref="H557">_xlfn.XLOOKUP(C557,customers!$A$1:$A$1001,customers!$G$1:$G$1001,customers!A556:H1529)</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7">
        <f t="shared" si="24"/>
        <v>82.5</v>
      </c>
      <c r="N557" t="str">
        <f t="shared" si="25"/>
        <v>Excelsa</v>
      </c>
      <c r="O557" t="str">
        <f t="shared" si="26"/>
        <v>Medium</v>
      </c>
      <c r="P557" t="str">
        <f>_xlfn.XLOOKUP(C557,customers!$A$1:$A$1001,customers!$I$1:$I$1001,0)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IF(_xlfn.XLOOKUP(C558,customers!$A$1:$A$1001,customers!$C$1:$C$1001,)=0,"",_xlfn.XLOOKUP(C558,customers!$A$1:$A$1001,customers!$C$1:$C$1001,))</f>
        <v>craisbeckfg@webnode.com</v>
      </c>
      <c r="H558" s="2" t="str" cm="1">
        <f t="array" ref="H558">_xlfn.XLOOKUP(C558,customers!$A$1:$A$1001,customers!$G$1:$G$1001,customers!A557:H1530)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7">
        <f t="shared" si="24"/>
        <v>8.73</v>
      </c>
      <c r="N558" t="str">
        <f t="shared" si="25"/>
        <v>Librica</v>
      </c>
      <c r="O558" t="str">
        <f t="shared" si="26"/>
        <v>Medium</v>
      </c>
      <c r="P558" t="str">
        <f>_xlfn.XLOOKUP(C558,customers!$A$1:$A$1001,customers!$I$1:$I$1001,0)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IF(_xlfn.XLOOKUP(C559,customers!$A$1:$A$1001,customers!$C$1:$C$1001,)=0,"",_xlfn.XLOOKUP(C559,customers!$A$1:$A$1001,customers!$C$1:$C$1001,))</f>
        <v>murione5@alexa.com</v>
      </c>
      <c r="H559" s="2" t="str" cm="1">
        <f t="array" ref="H559">_xlfn.XLOOKUP(C559,customers!$A$1:$A$1001,customers!$G$1:$G$1001,customers!A558:H1531)</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7">
        <f t="shared" si="24"/>
        <v>59.4</v>
      </c>
      <c r="N559" t="str">
        <f t="shared" si="25"/>
        <v>Excelsa</v>
      </c>
      <c r="O559" t="str">
        <f t="shared" si="26"/>
        <v>Large</v>
      </c>
      <c r="P559" t="str">
        <f>_xlfn.XLOOKUP(C559,customers!$A$1:$A$1001,customers!$I$1:$I$1001,0)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IF(_xlfn.XLOOKUP(C560,customers!$A$1:$A$1001,customers!$C$1:$C$1001,)=0,"",_xlfn.XLOOKUP(C560,customers!$A$1:$A$1001,customers!$C$1:$C$1001,))</f>
        <v/>
      </c>
      <c r="H560" s="2" t="str" cm="1">
        <f t="array" ref="H560">_xlfn.XLOOKUP(C560,customers!$A$1:$A$1001,customers!$G$1:$G$1001,customers!A559:H1532)</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7">
        <f t="shared" si="24"/>
        <v>15.54</v>
      </c>
      <c r="N560" t="str">
        <f t="shared" si="25"/>
        <v>Librica</v>
      </c>
      <c r="O560" t="str">
        <f t="shared" si="26"/>
        <v>Dark</v>
      </c>
      <c r="P560" t="str">
        <f>_xlfn.XLOOKUP(C560,customers!$A$1:$A$1001,customers!$I$1:$I$1001,0)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IF(_xlfn.XLOOKUP(C561,customers!$A$1:$A$1001,customers!$C$1:$C$1001,)=0,"",_xlfn.XLOOKUP(C561,customers!$A$1:$A$1001,customers!$C$1:$C$1001,))</f>
        <v>raynoldfj@ustream.tv</v>
      </c>
      <c r="H561" s="2" t="str" cm="1">
        <f t="array" ref="H561">_xlfn.XLOOKUP(C561,customers!$A$1:$A$1001,customers!$G$1:$G$1001,customers!A560:H1533)</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7">
        <f t="shared" si="24"/>
        <v>38.849999999999994</v>
      </c>
      <c r="N561" t="str">
        <f t="shared" si="25"/>
        <v>Arabic</v>
      </c>
      <c r="O561" t="str">
        <f t="shared" si="26"/>
        <v>Large</v>
      </c>
      <c r="P561" t="str">
        <f>_xlfn.XLOOKUP(C561,customers!$A$1:$A$1001,customers!$I$1:$I$1001,0)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IF(_xlfn.XLOOKUP(C562,customers!$A$1:$A$1001,customers!$C$1:$C$1001,)=0,"",_xlfn.XLOOKUP(C562,customers!$A$1:$A$1001,customers!$C$1:$C$1001,))</f>
        <v/>
      </c>
      <c r="H562" s="2" t="str" cm="1">
        <f t="array" ref="H562">_xlfn.XLOOKUP(C562,customers!$A$1:$A$1001,customers!$G$1:$G$1001,customers!A561:H1534)</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7">
        <f t="shared" si="24"/>
        <v>189.74999999999997</v>
      </c>
      <c r="N562" t="str">
        <f t="shared" si="25"/>
        <v>Excelsa</v>
      </c>
      <c r="O562" t="str">
        <f t="shared" si="26"/>
        <v>Medium</v>
      </c>
      <c r="P562" t="str">
        <f>_xlfn.XLOOKUP(C562,customers!$A$1:$A$1001,customers!$I$1:$I$1001,0)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IF(_xlfn.XLOOKUP(C563,customers!$A$1:$A$1001,customers!$C$1:$C$1001,)=0,"",_xlfn.XLOOKUP(C563,customers!$A$1:$A$1001,customers!$C$1:$C$1001,))</f>
        <v/>
      </c>
      <c r="H563" s="2" t="str" cm="1">
        <f t="array" ref="H563">_xlfn.XLOOKUP(C563,customers!$A$1:$A$1001,customers!$G$1:$G$1001,customers!A562:H1535)</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7">
        <f t="shared" si="24"/>
        <v>17.91</v>
      </c>
      <c r="N563" t="str">
        <f t="shared" si="25"/>
        <v>Arabic</v>
      </c>
      <c r="O563" t="str">
        <f t="shared" si="26"/>
        <v>Dark</v>
      </c>
      <c r="P563" t="str">
        <f>_xlfn.XLOOKUP(C563,customers!$A$1:$A$1001,customers!$I$1:$I$1001,0)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IF(_xlfn.XLOOKUP(C564,customers!$A$1:$A$1001,customers!$C$1:$C$1001,)=0,"",_xlfn.XLOOKUP(C564,customers!$A$1:$A$1001,customers!$C$1:$C$1001,))</f>
        <v>bgrecefm@naver.com</v>
      </c>
      <c r="H564" s="2" t="str" cm="1">
        <f t="array" ref="H564">_xlfn.XLOOKUP(C564,customers!$A$1:$A$1001,customers!$G$1:$G$1001,customers!A563:H1536)</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7">
        <f t="shared" si="24"/>
        <v>28.53</v>
      </c>
      <c r="N564" t="str">
        <f t="shared" si="25"/>
        <v>Librica</v>
      </c>
      <c r="O564" t="str">
        <f t="shared" si="26"/>
        <v>Large</v>
      </c>
      <c r="P564" t="str">
        <f>_xlfn.XLOOKUP(C564,customers!$A$1:$A$1001,customers!$I$1:$I$1001,0)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IF(_xlfn.XLOOKUP(C565,customers!$A$1:$A$1001,customers!$C$1:$C$1001,)=0,"",_xlfn.XLOOKUP(C565,customers!$A$1:$A$1001,customers!$C$1:$C$1001,))</f>
        <v>dflintiffg1@e-recht24.de</v>
      </c>
      <c r="H565" s="2" t="str" cm="1">
        <f t="array" ref="H565">_xlfn.XLOOKUP(C565,customers!$A$1:$A$1001,customers!$G$1:$G$1001,customers!A564:H1537)</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7">
        <f t="shared" si="24"/>
        <v>82.5</v>
      </c>
      <c r="N565" t="str">
        <f t="shared" si="25"/>
        <v>Excelsa</v>
      </c>
      <c r="O565" t="str">
        <f t="shared" si="26"/>
        <v>Medium</v>
      </c>
      <c r="P565" t="str">
        <f>_xlfn.XLOOKUP(C565,customers!$A$1:$A$1001,customers!$I$1:$I$1001,0)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IF(_xlfn.XLOOKUP(C566,customers!$A$1:$A$1001,customers!$C$1:$C$1001,)=0,"",_xlfn.XLOOKUP(C566,customers!$A$1:$A$1001,customers!$C$1:$C$1001,))</f>
        <v>athysfo@cdc.gov</v>
      </c>
      <c r="H566" s="2" t="str" cm="1">
        <f t="array" ref="H566">_xlfn.XLOOKUP(C566,customers!$A$1:$A$1001,customers!$G$1:$G$1001,customers!A565:H1538)</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7">
        <f t="shared" si="24"/>
        <v>14.339999999999998</v>
      </c>
      <c r="N566" t="str">
        <f t="shared" si="25"/>
        <v>Robusta</v>
      </c>
      <c r="O566" t="str">
        <f t="shared" si="26"/>
        <v>Large</v>
      </c>
      <c r="P566" t="str">
        <f>_xlfn.XLOOKUP(C566,customers!$A$1:$A$1001,customers!$I$1:$I$1001,0)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IF(_xlfn.XLOOKUP(C567,customers!$A$1:$A$1001,customers!$C$1:$C$1001,)=0,"",_xlfn.XLOOKUP(C567,customers!$A$1:$A$1001,customers!$C$1:$C$1001,))</f>
        <v>jchuggfp@about.me</v>
      </c>
      <c r="H567" s="2" t="str" cm="1">
        <f t="array" ref="H567">_xlfn.XLOOKUP(C567,customers!$A$1:$A$1001,customers!$G$1:$G$1001,customers!A566:H1539)</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7">
        <f t="shared" si="24"/>
        <v>82.339999999999989</v>
      </c>
      <c r="N567" t="str">
        <f t="shared" si="25"/>
        <v>Robusta</v>
      </c>
      <c r="O567" t="str">
        <f t="shared" si="26"/>
        <v>Dark</v>
      </c>
      <c r="P567" t="str">
        <f>_xlfn.XLOOKUP(C567,customers!$A$1:$A$1001,customers!$I$1:$I$1001,0)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IF(_xlfn.XLOOKUP(C568,customers!$A$1:$A$1001,customers!$C$1:$C$1001,)=0,"",_xlfn.XLOOKUP(C568,customers!$A$1:$A$1001,customers!$C$1:$C$1001,))</f>
        <v>akelstonfq@sakura.ne.jp</v>
      </c>
      <c r="H568" s="2" t="str" cm="1">
        <f t="array" ref="H568">_xlfn.XLOOKUP(C568,customers!$A$1:$A$1001,customers!$G$1:$G$1001,customers!A567:H1540)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7">
        <f t="shared" si="24"/>
        <v>20.25</v>
      </c>
      <c r="N568" t="str">
        <f t="shared" si="25"/>
        <v>Arabic</v>
      </c>
      <c r="O568" t="str">
        <f t="shared" si="26"/>
        <v>Medium</v>
      </c>
      <c r="P568" t="str">
        <f>_xlfn.XLOOKUP(C568,customers!$A$1:$A$1001,customers!$I$1:$I$1001,0)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IF(_xlfn.XLOOKUP(C569,customers!$A$1:$A$1001,customers!$C$1:$C$1001,)=0,"",_xlfn.XLOOKUP(C569,customers!$A$1:$A$1001,customers!$C$1:$C$1001,))</f>
        <v/>
      </c>
      <c r="H569" s="2" t="str" cm="1">
        <f t="array" ref="H569">_xlfn.XLOOKUP(C569,customers!$A$1:$A$1001,customers!$G$1:$G$1001,customers!A568:H1541)</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7">
        <f t="shared" si="24"/>
        <v>164.90999999999997</v>
      </c>
      <c r="N569" t="str">
        <f t="shared" si="25"/>
        <v>Robusta</v>
      </c>
      <c r="O569" t="str">
        <f t="shared" si="26"/>
        <v>Large</v>
      </c>
      <c r="P569" t="str">
        <f>_xlfn.XLOOKUP(C569,customers!$A$1:$A$1001,customers!$I$1:$I$1001,0)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IF(_xlfn.XLOOKUP(C570,customers!$A$1:$A$1001,customers!$C$1:$C$1001,)=0,"",_xlfn.XLOOKUP(C570,customers!$A$1:$A$1001,customers!$C$1:$C$1001,))</f>
        <v>cmottramfs@harvard.edu</v>
      </c>
      <c r="H570" s="2" t="str" cm="1">
        <f t="array" ref="H570">_xlfn.XLOOKUP(C570,customers!$A$1:$A$1001,customers!$G$1:$G$1001,customers!A569:H1542)</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7">
        <f t="shared" si="24"/>
        <v>19.02</v>
      </c>
      <c r="N570" t="str">
        <f t="shared" si="25"/>
        <v>Librica</v>
      </c>
      <c r="O570" t="str">
        <f t="shared" si="26"/>
        <v>Large</v>
      </c>
      <c r="P570" t="str">
        <f>_xlfn.XLOOKUP(C570,customers!$A$1:$A$1001,customers!$I$1:$I$1001,0)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IF(_xlfn.XLOOKUP(C571,customers!$A$1:$A$1001,customers!$C$1:$C$1001,)=0,"",_xlfn.XLOOKUP(C571,customers!$A$1:$A$1001,customers!$C$1:$C$1001,))</f>
        <v>dflintiffg1@e-recht24.de</v>
      </c>
      <c r="H571" s="2" t="str" cm="1">
        <f t="array" ref="H571">_xlfn.XLOOKUP(C571,customers!$A$1:$A$1001,customers!$G$1:$G$1001,customers!A570:H1543)</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7">
        <f t="shared" si="24"/>
        <v>137.31</v>
      </c>
      <c r="N571" t="str">
        <f t="shared" si="25"/>
        <v>Arabic</v>
      </c>
      <c r="O571" t="str">
        <f t="shared" si="26"/>
        <v>Dark</v>
      </c>
      <c r="P571" t="str">
        <f>_xlfn.XLOOKUP(C571,customers!$A$1:$A$1001,customers!$I$1:$I$1001,0)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IF(_xlfn.XLOOKUP(C572,customers!$A$1:$A$1001,customers!$C$1:$C$1001,)=0,"",_xlfn.XLOOKUP(C572,customers!$A$1:$A$1001,customers!$C$1:$C$1001,))</f>
        <v>dsangwinfu@weebly.com</v>
      </c>
      <c r="H572" s="2" t="str" cm="1">
        <f t="array" ref="H572">_xlfn.XLOOKUP(C572,customers!$A$1:$A$1001,customers!$G$1:$G$1001,customers!A571:H1544)</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7">
        <f t="shared" si="24"/>
        <v>27</v>
      </c>
      <c r="N572" t="str">
        <f t="shared" si="25"/>
        <v>Arabic</v>
      </c>
      <c r="O572" t="str">
        <f t="shared" si="26"/>
        <v>Medium</v>
      </c>
      <c r="P572" t="str">
        <f>_xlfn.XLOOKUP(C572,customers!$A$1:$A$1001,customers!$I$1:$I$1001,0)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IF(_xlfn.XLOOKUP(C573,customers!$A$1:$A$1001,customers!$C$1:$C$1001,)=0,"",_xlfn.XLOOKUP(C573,customers!$A$1:$A$1001,customers!$C$1:$C$1001,))</f>
        <v>eaizikowitzfv@virginia.edu</v>
      </c>
      <c r="H573" s="2" t="str" cm="1">
        <f t="array" ref="H573">_xlfn.XLOOKUP(C573,customers!$A$1:$A$1001,customers!$G$1:$G$1001,customers!A572:H1545)</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7">
        <f t="shared" si="24"/>
        <v>35.64</v>
      </c>
      <c r="N573" t="str">
        <f t="shared" si="25"/>
        <v>Excelsa</v>
      </c>
      <c r="O573" t="str">
        <f t="shared" si="26"/>
        <v>Large</v>
      </c>
      <c r="P573" t="str">
        <f>_xlfn.XLOOKUP(C573,customers!$A$1:$A$1001,customers!$I$1:$I$1001,0)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IF(_xlfn.XLOOKUP(C574,customers!$A$1:$A$1001,customers!$C$1:$C$1001,)=0,"",_xlfn.XLOOKUP(C574,customers!$A$1:$A$1001,customers!$C$1:$C$1001,))</f>
        <v/>
      </c>
      <c r="H574" s="2" t="str" cm="1">
        <f t="array" ref="H574">_xlfn.XLOOKUP(C574,customers!$A$1:$A$1001,customers!$G$1:$G$1001,customers!A573:H1546)</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7">
        <f t="shared" si="24"/>
        <v>5.97</v>
      </c>
      <c r="N574" t="str">
        <f t="shared" si="25"/>
        <v>Arabic</v>
      </c>
      <c r="O574" t="str">
        <f t="shared" si="26"/>
        <v>Dark</v>
      </c>
      <c r="P574" t="str">
        <f>_xlfn.XLOOKUP(C574,customers!$A$1:$A$1001,customers!$I$1:$I$1001,0)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IF(_xlfn.XLOOKUP(C575,customers!$A$1:$A$1001,customers!$C$1:$C$1001,)=0,"",_xlfn.XLOOKUP(C575,customers!$A$1:$A$1001,customers!$C$1:$C$1001,))</f>
        <v>cvenourfx@ask.com</v>
      </c>
      <c r="H575" s="2" t="str" cm="1">
        <f t="array" ref="H575">_xlfn.XLOOKUP(C575,customers!$A$1:$A$1001,customers!$G$1:$G$1001,customers!A574:H1547)</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7">
        <f t="shared" si="24"/>
        <v>67.5</v>
      </c>
      <c r="N575" t="str">
        <f t="shared" si="25"/>
        <v>Arabic</v>
      </c>
      <c r="O575" t="str">
        <f t="shared" si="26"/>
        <v>Medium</v>
      </c>
      <c r="P575" t="str">
        <f>_xlfn.XLOOKUP(C575,customers!$A$1:$A$1001,customers!$I$1:$I$1001,0)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IF(_xlfn.XLOOKUP(C576,customers!$A$1:$A$1001,customers!$C$1:$C$1001,)=0,"",_xlfn.XLOOKUP(C576,customers!$A$1:$A$1001,customers!$C$1:$C$1001,))</f>
        <v>mharbyfy@163.com</v>
      </c>
      <c r="H576" s="2" t="str" cm="1">
        <f t="array" ref="H576">_xlfn.XLOOKUP(C576,customers!$A$1:$A$1001,customers!$G$1:$G$1001,customers!A575:H1548)</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7">
        <f t="shared" si="24"/>
        <v>21.509999999999998</v>
      </c>
      <c r="N576" t="str">
        <f t="shared" si="25"/>
        <v>Robusta</v>
      </c>
      <c r="O576" t="str">
        <f t="shared" si="26"/>
        <v>Large</v>
      </c>
      <c r="P576" t="str">
        <f>_xlfn.XLOOKUP(C576,customers!$A$1:$A$1001,customers!$I$1:$I$1001,0)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IF(_xlfn.XLOOKUP(C577,customers!$A$1:$A$1001,customers!$C$1:$C$1001,)=0,"",_xlfn.XLOOKUP(C577,customers!$A$1:$A$1001,customers!$C$1:$C$1001,))</f>
        <v>rthickpennyfz@cafepress.com</v>
      </c>
      <c r="H577" s="2" t="str" cm="1">
        <f t="array" ref="H577">_xlfn.XLOOKUP(C577,customers!$A$1:$A$1001,customers!$G$1:$G$1001,customers!A576:H1549)</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7">
        <f t="shared" si="24"/>
        <v>66.929999999999993</v>
      </c>
      <c r="N577" t="str">
        <f t="shared" si="25"/>
        <v>Librica</v>
      </c>
      <c r="O577" t="str">
        <f t="shared" si="26"/>
        <v>Medium</v>
      </c>
      <c r="P577" t="str">
        <f>_xlfn.XLOOKUP(C577,customers!$A$1:$A$1001,customers!$I$1:$I$1001,0)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IF(_xlfn.XLOOKUP(C578,customers!$A$1:$A$1001,customers!$C$1:$C$1001,)=0,"",_xlfn.XLOOKUP(C578,customers!$A$1:$A$1001,customers!$C$1:$C$1001,))</f>
        <v>pormerodg0@redcross.org</v>
      </c>
      <c r="H578" s="2" t="str" cm="1">
        <f t="array" ref="H578">_xlfn.XLOOKUP(C578,customers!$A$1:$A$1001,customers!$G$1:$G$1001,customers!A577:H1550)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7">
        <f t="shared" si="24"/>
        <v>17.91</v>
      </c>
      <c r="N578" t="str">
        <f t="shared" si="25"/>
        <v>Arabic</v>
      </c>
      <c r="O578" t="str">
        <f t="shared" si="26"/>
        <v>Dark</v>
      </c>
      <c r="P578" t="str">
        <f>_xlfn.XLOOKUP(C578,customers!$A$1:$A$1001,customers!$I$1:$I$1001,0)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IF(_xlfn.XLOOKUP(C579,customers!$A$1:$A$1001,customers!$C$1:$C$1001,)=0,"",_xlfn.XLOOKUP(C579,customers!$A$1:$A$1001,customers!$C$1:$C$1001,))</f>
        <v>dflintiffg1@e-recht24.de</v>
      </c>
      <c r="H579" s="2" t="str" cm="1">
        <f t="array" ref="H579">_xlfn.XLOOKUP(C579,customers!$A$1:$A$1001,customers!$G$1:$G$1001,customers!A578:H1551)</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7">
        <f t="shared" ref="M579:M642" si="27">L579*E579</f>
        <v>58.2</v>
      </c>
      <c r="N579" t="str">
        <f t="shared" ref="N579:N642" si="28">IF(I579="Rob","Robusta",IF(I579="Exc","Excelsa",IF(I579="Ara","Arabic",IF(I579="Lib","Librica"))))</f>
        <v>Librica</v>
      </c>
      <c r="O579" t="str">
        <f t="shared" ref="O579:O642" si="29">IF(J579="M","Medium",IF(J579="L","Large",IF(J579="D","Dark")))</f>
        <v>Medium</v>
      </c>
      <c r="P579" t="str">
        <f>_xlfn.XLOOKUP(C579,customers!$A$1:$A$1001,customers!$I$1:$I$1001,0)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IF(_xlfn.XLOOKUP(C580,customers!$A$1:$A$1001,customers!$C$1:$C$1001,)=0,"",_xlfn.XLOOKUP(C580,customers!$A$1:$A$1001,customers!$C$1:$C$1001,))</f>
        <v>tzanettig2@gravatar.com</v>
      </c>
      <c r="H580" s="2" t="str" cm="1">
        <f t="array" ref="H580">_xlfn.XLOOKUP(C580,customers!$A$1:$A$1001,customers!$G$1:$G$1001,customers!A579:H1552)</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7">
        <f t="shared" si="27"/>
        <v>13.365</v>
      </c>
      <c r="N580" t="str">
        <f t="shared" si="28"/>
        <v>Excelsa</v>
      </c>
      <c r="O580" t="str">
        <f t="shared" si="29"/>
        <v>Large</v>
      </c>
      <c r="P580" t="str">
        <f>_xlfn.XLOOKUP(C580,customers!$A$1:$A$1001,customers!$I$1:$I$1001,0)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IF(_xlfn.XLOOKUP(C581,customers!$A$1:$A$1001,customers!$C$1:$C$1001,)=0,"",_xlfn.XLOOKUP(C581,customers!$A$1:$A$1001,customers!$C$1:$C$1001,))</f>
        <v>tzanettig2@gravatar.com</v>
      </c>
      <c r="H581" s="2" t="str" cm="1">
        <f t="array" ref="H581">_xlfn.XLOOKUP(C581,customers!$A$1:$A$1001,customers!$G$1:$G$1001,customers!A580:H1553)</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7">
        <f t="shared" si="27"/>
        <v>33.75</v>
      </c>
      <c r="N581" t="str">
        <f t="shared" si="28"/>
        <v>Arabic</v>
      </c>
      <c r="O581" t="str">
        <f t="shared" si="29"/>
        <v>Medium</v>
      </c>
      <c r="P581" t="str">
        <f>_xlfn.XLOOKUP(C581,customers!$A$1:$A$1001,customers!$I$1:$I$1001,0)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IF(_xlfn.XLOOKUP(C582,customers!$A$1:$A$1001,customers!$C$1:$C$1001,)=0,"",_xlfn.XLOOKUP(C582,customers!$A$1:$A$1001,customers!$C$1:$C$1001,))</f>
        <v>rkirtleyg4@hatena.ne.jp</v>
      </c>
      <c r="H582" s="2" t="str" cm="1">
        <f t="array" ref="H582">_xlfn.XLOOKUP(C582,customers!$A$1:$A$1001,customers!$G$1:$G$1001,customers!A581:H1554)</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7">
        <f t="shared" si="27"/>
        <v>44.55</v>
      </c>
      <c r="N582" t="str">
        <f t="shared" si="28"/>
        <v>Excelsa</v>
      </c>
      <c r="O582" t="str">
        <f t="shared" si="29"/>
        <v>Large</v>
      </c>
      <c r="P582" t="str">
        <f>_xlfn.XLOOKUP(C582,customers!$A$1:$A$1001,customers!$I$1:$I$1001,0)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IF(_xlfn.XLOOKUP(C583,customers!$A$1:$A$1001,customers!$C$1:$C$1001,)=0,"",_xlfn.XLOOKUP(C583,customers!$A$1:$A$1001,customers!$C$1:$C$1001,))</f>
        <v>cclemencetg5@weather.com</v>
      </c>
      <c r="H583" s="2" t="str" cm="1">
        <f t="array" ref="H583">_xlfn.XLOOKUP(C583,customers!$A$1:$A$1001,customers!$G$1:$G$1001,customers!A582:H1555)</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7">
        <f t="shared" si="27"/>
        <v>44.55</v>
      </c>
      <c r="N583" t="str">
        <f t="shared" si="28"/>
        <v>Excelsa</v>
      </c>
      <c r="O583" t="str">
        <f t="shared" si="29"/>
        <v>Large</v>
      </c>
      <c r="P583" t="str">
        <f>_xlfn.XLOOKUP(C583,customers!$A$1:$A$1001,customers!$I$1:$I$1001,0)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IF(_xlfn.XLOOKUP(C584,customers!$A$1:$A$1001,customers!$C$1:$C$1001,)=0,"",_xlfn.XLOOKUP(C584,customers!$A$1:$A$1001,customers!$C$1:$C$1001,))</f>
        <v>rdonetg6@oakley.com</v>
      </c>
      <c r="H584" s="2" t="str" cm="1">
        <f t="array" ref="H584">_xlfn.XLOOKUP(C584,customers!$A$1:$A$1001,customers!$G$1:$G$1001,customers!A583:H1556)</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7">
        <f t="shared" si="27"/>
        <v>60.75</v>
      </c>
      <c r="N584" t="str">
        <f t="shared" si="28"/>
        <v>Excelsa</v>
      </c>
      <c r="O584" t="str">
        <f t="shared" si="29"/>
        <v>Dark</v>
      </c>
      <c r="P584" t="str">
        <f>_xlfn.XLOOKUP(C584,customers!$A$1:$A$1001,customers!$I$1:$I$1001,0)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IF(_xlfn.XLOOKUP(C585,customers!$A$1:$A$1001,customers!$C$1:$C$1001,)=0,"",_xlfn.XLOOKUP(C585,customers!$A$1:$A$1001,customers!$C$1:$C$1001,))</f>
        <v>sgaweng7@creativecommons.org</v>
      </c>
      <c r="H585" s="2" t="str" cm="1">
        <f t="array" ref="H585">_xlfn.XLOOKUP(C585,customers!$A$1:$A$1001,customers!$G$1:$G$1001,customers!A584:H1557)</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7">
        <f t="shared" si="27"/>
        <v>3.5849999999999995</v>
      </c>
      <c r="N585" t="str">
        <f t="shared" si="28"/>
        <v>Robusta</v>
      </c>
      <c r="O585" t="str">
        <f t="shared" si="29"/>
        <v>Large</v>
      </c>
      <c r="P585" t="str">
        <f>_xlfn.XLOOKUP(C585,customers!$A$1:$A$1001,customers!$I$1:$I$1001,0)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IF(_xlfn.XLOOKUP(C586,customers!$A$1:$A$1001,customers!$C$1:$C$1001,)=0,"",_xlfn.XLOOKUP(C586,customers!$A$1:$A$1001,customers!$C$1:$C$1001,))</f>
        <v>rreadieg8@guardian.co.uk</v>
      </c>
      <c r="H586" s="2" t="str" cm="1">
        <f t="array" ref="H586">_xlfn.XLOOKUP(C586,customers!$A$1:$A$1001,customers!$G$1:$G$1001,customers!A585:H1558)</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7">
        <f t="shared" si="27"/>
        <v>21.509999999999998</v>
      </c>
      <c r="N586" t="str">
        <f t="shared" si="28"/>
        <v>Robusta</v>
      </c>
      <c r="O586" t="str">
        <f t="shared" si="29"/>
        <v>Large</v>
      </c>
      <c r="P586" t="str">
        <f>_xlfn.XLOOKUP(C586,customers!$A$1:$A$1001,customers!$I$1:$I$1001,0)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IF(_xlfn.XLOOKUP(C587,customers!$A$1:$A$1001,customers!$C$1:$C$1001,)=0,"",_xlfn.XLOOKUP(C587,customers!$A$1:$A$1001,customers!$C$1:$C$1001,))</f>
        <v>cverissimogh@theglobeandmail.com</v>
      </c>
      <c r="H587" s="2" t="str" cm="1">
        <f t="array" ref="H587">_xlfn.XLOOKUP(C587,customers!$A$1:$A$1001,customers!$G$1:$G$1001,customers!A586:H1559)</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7">
        <f t="shared" si="27"/>
        <v>16.5</v>
      </c>
      <c r="N587" t="str">
        <f t="shared" si="28"/>
        <v>Excelsa</v>
      </c>
      <c r="O587" t="str">
        <f t="shared" si="29"/>
        <v>Medium</v>
      </c>
      <c r="P587" t="str">
        <f>_xlfn.XLOOKUP(C587,customers!$A$1:$A$1001,customers!$I$1:$I$1001,0)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IF(_xlfn.XLOOKUP(C588,customers!$A$1:$A$1001,customers!$C$1:$C$1001,)=0,"",_xlfn.XLOOKUP(C588,customers!$A$1:$A$1001,customers!$C$1:$C$1001,))</f>
        <v/>
      </c>
      <c r="H588" s="2" t="str" cm="1">
        <f t="array" ref="H588">_xlfn.XLOOKUP(C588,customers!$A$1:$A$1001,customers!$G$1:$G$1001,customers!A587:H1560)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7">
        <f t="shared" si="27"/>
        <v>82.454999999999984</v>
      </c>
      <c r="N588" t="str">
        <f t="shared" si="28"/>
        <v>Robusta</v>
      </c>
      <c r="O588" t="str">
        <f t="shared" si="29"/>
        <v>Large</v>
      </c>
      <c r="P588" t="str">
        <f>_xlfn.XLOOKUP(C588,customers!$A$1:$A$1001,customers!$I$1:$I$1001,0)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IF(_xlfn.XLOOKUP(C589,customers!$A$1:$A$1001,customers!$C$1:$C$1001,)=0,"",_xlfn.XLOOKUP(C589,customers!$A$1:$A$1001,customers!$C$1:$C$1001,))</f>
        <v>bogb@elpais.com</v>
      </c>
      <c r="H589" s="2" t="str" cm="1">
        <f t="array" ref="H589">_xlfn.XLOOKUP(C589,customers!$A$1:$A$1001,customers!$G$1:$G$1001,customers!A588:H1561)</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7">
        <f t="shared" si="27"/>
        <v>7.77</v>
      </c>
      <c r="N589" t="str">
        <f t="shared" si="28"/>
        <v>Librica</v>
      </c>
      <c r="O589" t="str">
        <f t="shared" si="29"/>
        <v>Dark</v>
      </c>
      <c r="P589" t="str">
        <f>_xlfn.XLOOKUP(C589,customers!$A$1:$A$1001,customers!$I$1:$I$1001,0)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IF(_xlfn.XLOOKUP(C590,customers!$A$1:$A$1001,customers!$C$1:$C$1001,)=0,"",_xlfn.XLOOKUP(C590,customers!$A$1:$A$1001,customers!$C$1:$C$1001,))</f>
        <v>vstansburygc@unblog.fr</v>
      </c>
      <c r="H590" s="2" t="str" cm="1">
        <f t="array" ref="H590">_xlfn.XLOOKUP(C590,customers!$A$1:$A$1001,customers!$G$1:$G$1001,customers!A589:H1562)</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7">
        <f t="shared" si="27"/>
        <v>11.94</v>
      </c>
      <c r="N590" t="str">
        <f t="shared" si="28"/>
        <v>Robusta</v>
      </c>
      <c r="O590" t="str">
        <f t="shared" si="29"/>
        <v>Medium</v>
      </c>
      <c r="P590" t="str">
        <f>_xlfn.XLOOKUP(C590,customers!$A$1:$A$1001,customers!$I$1:$I$1001,0)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IF(_xlfn.XLOOKUP(C591,customers!$A$1:$A$1001,customers!$C$1:$C$1001,)=0,"",_xlfn.XLOOKUP(C591,customers!$A$1:$A$1001,customers!$C$1:$C$1001,))</f>
        <v>dheinonengd@printfriendly.com</v>
      </c>
      <c r="H591" s="2" t="str" cm="1">
        <f t="array" ref="H591">_xlfn.XLOOKUP(C591,customers!$A$1:$A$1001,customers!$G$1:$G$1001,customers!A590:H1563)</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7">
        <f t="shared" si="27"/>
        <v>204.92999999999995</v>
      </c>
      <c r="N591" t="str">
        <f t="shared" si="28"/>
        <v>Excelsa</v>
      </c>
      <c r="O591" t="str">
        <f t="shared" si="29"/>
        <v>Large</v>
      </c>
      <c r="P591" t="str">
        <f>_xlfn.XLOOKUP(C591,customers!$A$1:$A$1001,customers!$I$1:$I$1001,0)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IF(_xlfn.XLOOKUP(C592,customers!$A$1:$A$1001,customers!$C$1:$C$1001,)=0,"",_xlfn.XLOOKUP(C592,customers!$A$1:$A$1001,customers!$C$1:$C$1001,))</f>
        <v>jshentonge@google.com.hk</v>
      </c>
      <c r="H592" s="2" t="str" cm="1">
        <f t="array" ref="H592">_xlfn.XLOOKUP(C592,customers!$A$1:$A$1001,customers!$G$1:$G$1001,customers!A591:H1564)</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7">
        <f t="shared" si="27"/>
        <v>63.249999999999993</v>
      </c>
      <c r="N592" t="str">
        <f t="shared" si="28"/>
        <v>Excelsa</v>
      </c>
      <c r="O592" t="str">
        <f t="shared" si="29"/>
        <v>Medium</v>
      </c>
      <c r="P592" t="str">
        <f>_xlfn.XLOOKUP(C592,customers!$A$1:$A$1001,customers!$I$1:$I$1001,0)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IF(_xlfn.XLOOKUP(C593,customers!$A$1:$A$1001,customers!$C$1:$C$1001,)=0,"",_xlfn.XLOOKUP(C593,customers!$A$1:$A$1001,customers!$C$1:$C$1001,))</f>
        <v>jwilkissongf@nba.com</v>
      </c>
      <c r="H593" s="2" t="str" cm="1">
        <f t="array" ref="H593">_xlfn.XLOOKUP(C593,customers!$A$1:$A$1001,customers!$G$1:$G$1001,customers!A592:H1565)</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7">
        <f t="shared" si="27"/>
        <v>8.0549999999999997</v>
      </c>
      <c r="N593" t="str">
        <f t="shared" si="28"/>
        <v>Robusta</v>
      </c>
      <c r="O593" t="str">
        <f t="shared" si="29"/>
        <v>Dark</v>
      </c>
      <c r="P593" t="str">
        <f>_xlfn.XLOOKUP(C593,customers!$A$1:$A$1001,customers!$I$1:$I$1001,0)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IF(_xlfn.XLOOKUP(C594,customers!$A$1:$A$1001,customers!$C$1:$C$1001,)=0,"",_xlfn.XLOOKUP(C594,customers!$A$1:$A$1001,customers!$C$1:$C$1001,))</f>
        <v/>
      </c>
      <c r="H594" s="2" t="str" cm="1">
        <f t="array" ref="H594">_xlfn.XLOOKUP(C594,customers!$A$1:$A$1001,customers!$G$1:$G$1001,customers!A593:H1566)</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7">
        <f t="shared" si="27"/>
        <v>51.749999999999993</v>
      </c>
      <c r="N594" t="str">
        <f t="shared" si="28"/>
        <v>Arabic</v>
      </c>
      <c r="O594" t="str">
        <f t="shared" si="29"/>
        <v>Medium</v>
      </c>
      <c r="P594" t="str">
        <f>_xlfn.XLOOKUP(C594,customers!$A$1:$A$1001,customers!$I$1:$I$1001,0)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IF(_xlfn.XLOOKUP(C595,customers!$A$1:$A$1001,customers!$C$1:$C$1001,)=0,"",_xlfn.XLOOKUP(C595,customers!$A$1:$A$1001,customers!$C$1:$C$1001,))</f>
        <v>cverissimogh@theglobeandmail.com</v>
      </c>
      <c r="H595" s="2" t="str" cm="1">
        <f t="array" ref="H595">_xlfn.XLOOKUP(C595,customers!$A$1:$A$1001,customers!$G$1:$G$1001,customers!A594:H1567)</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7">
        <f t="shared" si="27"/>
        <v>27.945</v>
      </c>
      <c r="N595" t="str">
        <f t="shared" si="28"/>
        <v>Excelsa</v>
      </c>
      <c r="O595" t="str">
        <f t="shared" si="29"/>
        <v>Dark</v>
      </c>
      <c r="P595" t="str">
        <f>_xlfn.XLOOKUP(C595,customers!$A$1:$A$1001,customers!$I$1:$I$1001,0)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IF(_xlfn.XLOOKUP(C596,customers!$A$1:$A$1001,customers!$C$1:$C$1001,)=0,"",_xlfn.XLOOKUP(C596,customers!$A$1:$A$1001,customers!$C$1:$C$1001,))</f>
        <v>gstarcksgi@abc.net.au</v>
      </c>
      <c r="H596" s="2" t="str" cm="1">
        <f t="array" ref="H596">_xlfn.XLOOKUP(C596,customers!$A$1:$A$1001,customers!$G$1:$G$1001,customers!A595:H1568)</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7">
        <f t="shared" si="27"/>
        <v>59.569999999999993</v>
      </c>
      <c r="N596" t="str">
        <f t="shared" si="28"/>
        <v>Arabic</v>
      </c>
      <c r="O596" t="str">
        <f t="shared" si="29"/>
        <v>Large</v>
      </c>
      <c r="P596" t="str">
        <f>_xlfn.XLOOKUP(C596,customers!$A$1:$A$1001,customers!$I$1:$I$1001,0)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IF(_xlfn.XLOOKUP(C597,customers!$A$1:$A$1001,customers!$C$1:$C$1001,)=0,"",_xlfn.XLOOKUP(C597,customers!$A$1:$A$1001,customers!$C$1:$C$1001,))</f>
        <v/>
      </c>
      <c r="H597" s="2" t="str" cm="1">
        <f t="array" ref="H597">_xlfn.XLOOKUP(C597,customers!$A$1:$A$1001,customers!$G$1:$G$1001,customers!A596:H1569)</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7">
        <f t="shared" si="27"/>
        <v>14.85</v>
      </c>
      <c r="N597" t="str">
        <f t="shared" si="28"/>
        <v>Excelsa</v>
      </c>
      <c r="O597" t="str">
        <f t="shared" si="29"/>
        <v>Large</v>
      </c>
      <c r="P597" t="str">
        <f>_xlfn.XLOOKUP(C597,customers!$A$1:$A$1001,customers!$I$1:$I$1001,0)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IF(_xlfn.XLOOKUP(C598,customers!$A$1:$A$1001,customers!$C$1:$C$1001,)=0,"",_xlfn.XLOOKUP(C598,customers!$A$1:$A$1001,customers!$C$1:$C$1001,))</f>
        <v>kscholardgk@sbwire.com</v>
      </c>
      <c r="H598" s="2" t="str" cm="1">
        <f t="array" ref="H598">_xlfn.XLOOKUP(C598,customers!$A$1:$A$1001,customers!$G$1:$G$1001,customers!A597:H1570)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7">
        <f t="shared" si="27"/>
        <v>33.75</v>
      </c>
      <c r="N598" t="str">
        <f t="shared" si="28"/>
        <v>Arabic</v>
      </c>
      <c r="O598" t="str">
        <f t="shared" si="29"/>
        <v>Medium</v>
      </c>
      <c r="P598" t="str">
        <f>_xlfn.XLOOKUP(C598,customers!$A$1:$A$1001,customers!$I$1:$I$1001,0)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IF(_xlfn.XLOOKUP(C599,customers!$A$1:$A$1001,customers!$C$1:$C$1001,)=0,"",_xlfn.XLOOKUP(C599,customers!$A$1:$A$1001,customers!$C$1:$C$1001,))</f>
        <v>bkindleygl@wikimedia.org</v>
      </c>
      <c r="H599" s="2" t="str" cm="1">
        <f t="array" ref="H599">_xlfn.XLOOKUP(C599,customers!$A$1:$A$1001,customers!$G$1:$G$1001,customers!A598:H1571)</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7">
        <f t="shared" si="27"/>
        <v>145.82</v>
      </c>
      <c r="N599" t="str">
        <f t="shared" si="28"/>
        <v>Librica</v>
      </c>
      <c r="O599" t="str">
        <f t="shared" si="29"/>
        <v>Large</v>
      </c>
      <c r="P599" t="str">
        <f>_xlfn.XLOOKUP(C599,customers!$A$1:$A$1001,customers!$I$1:$I$1001,0)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IF(_xlfn.XLOOKUP(C600,customers!$A$1:$A$1001,customers!$C$1:$C$1001,)=0,"",_xlfn.XLOOKUP(C600,customers!$A$1:$A$1001,customers!$C$1:$C$1001,))</f>
        <v>khammettgm@dmoz.org</v>
      </c>
      <c r="H600" s="2" t="str" cm="1">
        <f t="array" ref="H600">_xlfn.XLOOKUP(C600,customers!$A$1:$A$1001,customers!$G$1:$G$1001,customers!A599:H1572)</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7">
        <f t="shared" si="27"/>
        <v>11.94</v>
      </c>
      <c r="N600" t="str">
        <f t="shared" si="28"/>
        <v>Robusta</v>
      </c>
      <c r="O600" t="str">
        <f t="shared" si="29"/>
        <v>Medium</v>
      </c>
      <c r="P600" t="str">
        <f>_xlfn.XLOOKUP(C600,customers!$A$1:$A$1001,customers!$I$1:$I$1001,0)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IF(_xlfn.XLOOKUP(C601,customers!$A$1:$A$1001,customers!$C$1:$C$1001,)=0,"",_xlfn.XLOOKUP(C601,customers!$A$1:$A$1001,customers!$C$1:$C$1001,))</f>
        <v>ahulburtgn@fda.gov</v>
      </c>
      <c r="H601" s="2" t="str" cm="1">
        <f t="array" ref="H601">_xlfn.XLOOKUP(C601,customers!$A$1:$A$1001,customers!$G$1:$G$1001,customers!A600:H1573)</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7">
        <f t="shared" si="27"/>
        <v>11.94</v>
      </c>
      <c r="N601" t="str">
        <f t="shared" si="28"/>
        <v>Arabic</v>
      </c>
      <c r="O601" t="str">
        <f t="shared" si="29"/>
        <v>Dark</v>
      </c>
      <c r="P601" t="str">
        <f>_xlfn.XLOOKUP(C601,customers!$A$1:$A$1001,customers!$I$1:$I$1001,0)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IF(_xlfn.XLOOKUP(C602,customers!$A$1:$A$1001,customers!$C$1:$C$1001,)=0,"",_xlfn.XLOOKUP(C602,customers!$A$1:$A$1001,customers!$C$1:$C$1001,))</f>
        <v>plauritzengo@photobucket.com</v>
      </c>
      <c r="H602" s="2" t="str" cm="1">
        <f t="array" ref="H602">_xlfn.XLOOKUP(C602,customers!$A$1:$A$1001,customers!$G$1:$G$1001,customers!A601:H1574)</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7">
        <f t="shared" si="27"/>
        <v>7.77</v>
      </c>
      <c r="N602" t="str">
        <f t="shared" si="28"/>
        <v>Librica</v>
      </c>
      <c r="O602" t="str">
        <f t="shared" si="29"/>
        <v>Dark</v>
      </c>
      <c r="P602" t="str">
        <f>_xlfn.XLOOKUP(C602,customers!$A$1:$A$1001,customers!$I$1:$I$1001,0)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IF(_xlfn.XLOOKUP(C603,customers!$A$1:$A$1001,customers!$C$1:$C$1001,)=0,"",_xlfn.XLOOKUP(C603,customers!$A$1:$A$1001,customers!$C$1:$C$1001,))</f>
        <v>aburgwingp@redcross.org</v>
      </c>
      <c r="H603" s="2" t="str" cm="1">
        <f t="array" ref="H603">_xlfn.XLOOKUP(C603,customers!$A$1:$A$1001,customers!$G$1:$G$1001,customers!A602:H1575)</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7">
        <f t="shared" si="27"/>
        <v>109.93999999999998</v>
      </c>
      <c r="N603" t="str">
        <f t="shared" si="28"/>
        <v>Robusta</v>
      </c>
      <c r="O603" t="str">
        <f t="shared" si="29"/>
        <v>Large</v>
      </c>
      <c r="P603" t="str">
        <f>_xlfn.XLOOKUP(C603,customers!$A$1:$A$1001,customers!$I$1:$I$1001,0)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IF(_xlfn.XLOOKUP(C604,customers!$A$1:$A$1001,customers!$C$1:$C$1001,)=0,"",_xlfn.XLOOKUP(C604,customers!$A$1:$A$1001,customers!$C$1:$C$1001,))</f>
        <v>erolingq@google.fr</v>
      </c>
      <c r="H604" s="2" t="str" cm="1">
        <f t="array" ref="H604">_xlfn.XLOOKUP(C604,customers!$A$1:$A$1001,customers!$G$1:$G$1001,customers!A603:H1576)</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7">
        <f t="shared" si="27"/>
        <v>22.274999999999999</v>
      </c>
      <c r="N604" t="str">
        <f t="shared" si="28"/>
        <v>Excelsa</v>
      </c>
      <c r="O604" t="str">
        <f t="shared" si="29"/>
        <v>Large</v>
      </c>
      <c r="P604" t="str">
        <f>_xlfn.XLOOKUP(C604,customers!$A$1:$A$1001,customers!$I$1:$I$1001,0)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IF(_xlfn.XLOOKUP(C605,customers!$A$1:$A$1001,customers!$C$1:$C$1001,)=0,"",_xlfn.XLOOKUP(C605,customers!$A$1:$A$1001,customers!$C$1:$C$1001,))</f>
        <v>dfowlegr@epa.gov</v>
      </c>
      <c r="H605" s="2" t="str" cm="1">
        <f t="array" ref="H605">_xlfn.XLOOKUP(C605,customers!$A$1:$A$1001,customers!$G$1:$G$1001,customers!A604:H1577)</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7">
        <f t="shared" si="27"/>
        <v>8.9550000000000001</v>
      </c>
      <c r="N605" t="str">
        <f t="shared" si="28"/>
        <v>Robusta</v>
      </c>
      <c r="O605" t="str">
        <f t="shared" si="29"/>
        <v>Medium</v>
      </c>
      <c r="P605" t="str">
        <f>_xlfn.XLOOKUP(C605,customers!$A$1:$A$1001,customers!$I$1:$I$1001,0)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IF(_xlfn.XLOOKUP(C606,customers!$A$1:$A$1001,customers!$C$1:$C$1001,)=0,"",_xlfn.XLOOKUP(C606,customers!$A$1:$A$1001,customers!$C$1:$C$1001,))</f>
        <v/>
      </c>
      <c r="H606" s="2" t="str" cm="1">
        <f t="array" ref="H606">_xlfn.XLOOKUP(C606,customers!$A$1:$A$1001,customers!$G$1:$G$1001,customers!A605:H1578)</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7">
        <f t="shared" si="27"/>
        <v>119.13999999999999</v>
      </c>
      <c r="N606" t="str">
        <f t="shared" si="28"/>
        <v>Librica</v>
      </c>
      <c r="O606" t="str">
        <f t="shared" si="29"/>
        <v>Dark</v>
      </c>
      <c r="P606" t="str">
        <f>_xlfn.XLOOKUP(C606,customers!$A$1:$A$1001,customers!$I$1:$I$1001,0)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IF(_xlfn.XLOOKUP(C607,customers!$A$1:$A$1001,customers!$C$1:$C$1001,)=0,"",_xlfn.XLOOKUP(C607,customers!$A$1:$A$1001,customers!$C$1:$C$1001,))</f>
        <v>wpowleslandgt@soundcloud.com</v>
      </c>
      <c r="H607" s="2" t="str" cm="1">
        <f t="array" ref="H607">_xlfn.XLOOKUP(C607,customers!$A$1:$A$1001,customers!$G$1:$G$1001,customers!A606:H1579)</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7">
        <f t="shared" si="27"/>
        <v>148.92499999999998</v>
      </c>
      <c r="N607" t="str">
        <f t="shared" si="28"/>
        <v>Arabic</v>
      </c>
      <c r="O607" t="str">
        <f t="shared" si="29"/>
        <v>Large</v>
      </c>
      <c r="P607" t="str">
        <f>_xlfn.XLOOKUP(C607,customers!$A$1:$A$1001,customers!$I$1:$I$1001,0)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IF(_xlfn.XLOOKUP(C608,customers!$A$1:$A$1001,customers!$C$1:$C$1001,)=0,"",_xlfn.XLOOKUP(C608,customers!$A$1:$A$1001,customers!$C$1:$C$1001,))</f>
        <v>cverissimogh@theglobeandmail.com</v>
      </c>
      <c r="H608" s="2" t="str" cm="1">
        <f t="array" ref="H608">_xlfn.XLOOKUP(C608,customers!$A$1:$A$1001,customers!$G$1:$G$1001,customers!A607:H1580)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7">
        <f t="shared" si="27"/>
        <v>109.36499999999999</v>
      </c>
      <c r="N608" t="str">
        <f t="shared" si="28"/>
        <v>Librica</v>
      </c>
      <c r="O608" t="str">
        <f t="shared" si="29"/>
        <v>Large</v>
      </c>
      <c r="P608" t="str">
        <f>_xlfn.XLOOKUP(C608,customers!$A$1:$A$1001,customers!$I$1:$I$1001,0)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IF(_xlfn.XLOOKUP(C609,customers!$A$1:$A$1001,customers!$C$1:$C$1001,)=0,"",_xlfn.XLOOKUP(C609,customers!$A$1:$A$1001,customers!$C$1:$C$1001,))</f>
        <v>lellinghamgv@sciencedaily.com</v>
      </c>
      <c r="H609" s="2" t="str" cm="1">
        <f t="array" ref="H609">_xlfn.XLOOKUP(C609,customers!$A$1:$A$1001,customers!$G$1:$G$1001,customers!A608:H1581)</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7">
        <f t="shared" si="27"/>
        <v>3.645</v>
      </c>
      <c r="N609" t="str">
        <f t="shared" si="28"/>
        <v>Excelsa</v>
      </c>
      <c r="O609" t="str">
        <f t="shared" si="29"/>
        <v>Dark</v>
      </c>
      <c r="P609" t="str">
        <f>_xlfn.XLOOKUP(C609,customers!$A$1:$A$1001,customers!$I$1:$I$1001,0)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IF(_xlfn.XLOOKUP(C610,customers!$A$1:$A$1001,customers!$C$1:$C$1001,)=0,"",_xlfn.XLOOKUP(C610,customers!$A$1:$A$1001,customers!$C$1:$C$1001,))</f>
        <v/>
      </c>
      <c r="H610" s="2" t="str" cm="1">
        <f t="array" ref="H610">_xlfn.XLOOKUP(C610,customers!$A$1:$A$1001,customers!$G$1:$G$1001,customers!A609:H1582)</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7">
        <f t="shared" si="27"/>
        <v>55.89</v>
      </c>
      <c r="N610" t="str">
        <f t="shared" si="28"/>
        <v>Excelsa</v>
      </c>
      <c r="O610" t="str">
        <f t="shared" si="29"/>
        <v>Dark</v>
      </c>
      <c r="P610" t="str">
        <f>_xlfn.XLOOKUP(C610,customers!$A$1:$A$1001,customers!$I$1:$I$1001,0)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IF(_xlfn.XLOOKUP(C611,customers!$A$1:$A$1001,customers!$C$1:$C$1001,)=0,"",_xlfn.XLOOKUP(C611,customers!$A$1:$A$1001,customers!$C$1:$C$1001,))</f>
        <v>afendtgx@forbes.com</v>
      </c>
      <c r="H611" s="2" t="str" cm="1">
        <f t="array" ref="H611">_xlfn.XLOOKUP(C611,customers!$A$1:$A$1001,customers!$G$1:$G$1001,customers!A610:H1583)</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7">
        <f t="shared" si="27"/>
        <v>26.19</v>
      </c>
      <c r="N611" t="str">
        <f t="shared" si="28"/>
        <v>Librica</v>
      </c>
      <c r="O611" t="str">
        <f t="shared" si="29"/>
        <v>Medium</v>
      </c>
      <c r="P611" t="str">
        <f>_xlfn.XLOOKUP(C611,customers!$A$1:$A$1001,customers!$I$1:$I$1001,0)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IF(_xlfn.XLOOKUP(C612,customers!$A$1:$A$1001,customers!$C$1:$C$1001,)=0,"",_xlfn.XLOOKUP(C612,customers!$A$1:$A$1001,customers!$C$1:$C$1001,))</f>
        <v>acleyburngy@lycos.com</v>
      </c>
      <c r="H612" s="2" t="str" cm="1">
        <f t="array" ref="H612">_xlfn.XLOOKUP(C612,customers!$A$1:$A$1001,customers!$G$1:$G$1001,customers!A611:H1584)</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7">
        <f t="shared" si="27"/>
        <v>39.799999999999997</v>
      </c>
      <c r="N612" t="str">
        <f t="shared" si="28"/>
        <v>Robusta</v>
      </c>
      <c r="O612" t="str">
        <f t="shared" si="29"/>
        <v>Medium</v>
      </c>
      <c r="P612" t="str">
        <f>_xlfn.XLOOKUP(C612,customers!$A$1:$A$1001,customers!$I$1:$I$1001,0)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IF(_xlfn.XLOOKUP(C613,customers!$A$1:$A$1001,customers!$C$1:$C$1001,)=0,"",_xlfn.XLOOKUP(C613,customers!$A$1:$A$1001,customers!$C$1:$C$1001,))</f>
        <v>tcastiglionegz@xing.com</v>
      </c>
      <c r="H613" s="2" t="str" cm="1">
        <f t="array" ref="H613">_xlfn.XLOOKUP(C613,customers!$A$1:$A$1001,customers!$G$1:$G$1001,customers!A612:H1585)</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7">
        <f t="shared" si="27"/>
        <v>68.309999999999988</v>
      </c>
      <c r="N613" t="str">
        <f t="shared" si="28"/>
        <v>Excelsa</v>
      </c>
      <c r="O613" t="str">
        <f t="shared" si="29"/>
        <v>Large</v>
      </c>
      <c r="P613" t="str">
        <f>_xlfn.XLOOKUP(C613,customers!$A$1:$A$1001,customers!$I$1:$I$1001,0)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IF(_xlfn.XLOOKUP(C614,customers!$A$1:$A$1001,customers!$C$1:$C$1001,)=0,"",_xlfn.XLOOKUP(C614,customers!$A$1:$A$1001,customers!$C$1:$C$1001,))</f>
        <v/>
      </c>
      <c r="H614" s="2" t="str" cm="1">
        <f t="array" ref="H614">_xlfn.XLOOKUP(C614,customers!$A$1:$A$1001,customers!$G$1:$G$1001,customers!A613:H1586)</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7">
        <f t="shared" si="27"/>
        <v>13.5</v>
      </c>
      <c r="N614" t="str">
        <f t="shared" si="28"/>
        <v>Arabic</v>
      </c>
      <c r="O614" t="str">
        <f t="shared" si="29"/>
        <v>Medium</v>
      </c>
      <c r="P614" t="str">
        <f>_xlfn.XLOOKUP(C614,customers!$A$1:$A$1001,customers!$I$1:$I$1001,0)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IF(_xlfn.XLOOKUP(C615,customers!$A$1:$A$1001,customers!$C$1:$C$1001,)=0,"",_xlfn.XLOOKUP(C615,customers!$A$1:$A$1001,customers!$C$1:$C$1001,))</f>
        <v/>
      </c>
      <c r="H615" s="2" t="str" cm="1">
        <f t="array" ref="H615">_xlfn.XLOOKUP(C615,customers!$A$1:$A$1001,customers!$G$1:$G$1001,customers!A614:H1587)</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7">
        <f t="shared" si="27"/>
        <v>5.97</v>
      </c>
      <c r="N615" t="str">
        <f t="shared" si="28"/>
        <v>Robusta</v>
      </c>
      <c r="O615" t="str">
        <f t="shared" si="29"/>
        <v>Medium</v>
      </c>
      <c r="P615" t="str">
        <f>_xlfn.XLOOKUP(C615,customers!$A$1:$A$1001,customers!$I$1:$I$1001,0)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IF(_xlfn.XLOOKUP(C616,customers!$A$1:$A$1001,customers!$C$1:$C$1001,)=0,"",_xlfn.XLOOKUP(C616,customers!$A$1:$A$1001,customers!$C$1:$C$1001,))</f>
        <v>cverissimogh@theglobeandmail.com</v>
      </c>
      <c r="H616" s="2" t="str" cm="1">
        <f t="array" ref="H616">_xlfn.XLOOKUP(C616,customers!$A$1:$A$1001,customers!$G$1:$G$1001,customers!A615:H1588)</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7">
        <f t="shared" si="27"/>
        <v>29.849999999999998</v>
      </c>
      <c r="N616" t="str">
        <f t="shared" si="28"/>
        <v>Robusta</v>
      </c>
      <c r="O616" t="str">
        <f t="shared" si="29"/>
        <v>Medium</v>
      </c>
      <c r="P616" t="str">
        <f>_xlfn.XLOOKUP(C616,customers!$A$1:$A$1001,customers!$I$1:$I$1001,0)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IF(_xlfn.XLOOKUP(C617,customers!$A$1:$A$1001,customers!$C$1:$C$1001,)=0,"",_xlfn.XLOOKUP(C617,customers!$A$1:$A$1001,customers!$C$1:$C$1001,))</f>
        <v>scouronneh3@mozilla.org</v>
      </c>
      <c r="H617" s="2" t="str" cm="1">
        <f t="array" ref="H617">_xlfn.XLOOKUP(C617,customers!$A$1:$A$1001,customers!$G$1:$G$1001,customers!A616:H1589)</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7">
        <f t="shared" si="27"/>
        <v>72.91</v>
      </c>
      <c r="N617" t="str">
        <f t="shared" si="28"/>
        <v>Librica</v>
      </c>
      <c r="O617" t="str">
        <f t="shared" si="29"/>
        <v>Large</v>
      </c>
      <c r="P617" t="str">
        <f>_xlfn.XLOOKUP(C617,customers!$A$1:$A$1001,customers!$I$1:$I$1001,0)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IF(_xlfn.XLOOKUP(C618,customers!$A$1:$A$1001,customers!$C$1:$C$1001,)=0,"",_xlfn.XLOOKUP(C618,customers!$A$1:$A$1001,customers!$C$1:$C$1001,))</f>
        <v>lflippellih4@github.io</v>
      </c>
      <c r="H618" s="2" t="str" cm="1">
        <f t="array" ref="H618">_xlfn.XLOOKUP(C618,customers!$A$1:$A$1001,customers!$G$1:$G$1001,customers!A617:H1590)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7">
        <f t="shared" si="27"/>
        <v>126.49999999999999</v>
      </c>
      <c r="N618" t="str">
        <f t="shared" si="28"/>
        <v>Excelsa</v>
      </c>
      <c r="O618" t="str">
        <f t="shared" si="29"/>
        <v>Medium</v>
      </c>
      <c r="P618" t="str">
        <f>_xlfn.XLOOKUP(C618,customers!$A$1:$A$1001,customers!$I$1:$I$1001,0)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IF(_xlfn.XLOOKUP(C619,customers!$A$1:$A$1001,customers!$C$1:$C$1001,)=0,"",_xlfn.XLOOKUP(C619,customers!$A$1:$A$1001,customers!$C$1:$C$1001,))</f>
        <v>relizabethh5@live.com</v>
      </c>
      <c r="H619" s="2" t="str" cm="1">
        <f t="array" ref="H619">_xlfn.XLOOKUP(C619,customers!$A$1:$A$1001,customers!$G$1:$G$1001,customers!A618:H1591)</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7">
        <f t="shared" si="27"/>
        <v>33.464999999999996</v>
      </c>
      <c r="N619" t="str">
        <f t="shared" si="28"/>
        <v>Librica</v>
      </c>
      <c r="O619" t="str">
        <f t="shared" si="29"/>
        <v>Medium</v>
      </c>
      <c r="P619" t="str">
        <f>_xlfn.XLOOKUP(C619,customers!$A$1:$A$1001,customers!$I$1:$I$1001,0)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IF(_xlfn.XLOOKUP(C620,customers!$A$1:$A$1001,customers!$C$1:$C$1001,)=0,"",_xlfn.XLOOKUP(C620,customers!$A$1:$A$1001,customers!$C$1:$C$1001,))</f>
        <v>irenhardh6@i2i.jp</v>
      </c>
      <c r="H620" s="2" t="str" cm="1">
        <f t="array" ref="H620">_xlfn.XLOOKUP(C620,customers!$A$1:$A$1001,customers!$G$1:$G$1001,customers!A619:H1592)</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7">
        <f t="shared" si="27"/>
        <v>72.900000000000006</v>
      </c>
      <c r="N620" t="str">
        <f t="shared" si="28"/>
        <v>Excelsa</v>
      </c>
      <c r="O620" t="str">
        <f t="shared" si="29"/>
        <v>Dark</v>
      </c>
      <c r="P620" t="str">
        <f>_xlfn.XLOOKUP(C620,customers!$A$1:$A$1001,customers!$I$1:$I$1001,0)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IF(_xlfn.XLOOKUP(C621,customers!$A$1:$A$1001,customers!$C$1:$C$1001,)=0,"",_xlfn.XLOOKUP(C621,customers!$A$1:$A$1001,customers!$C$1:$C$1001,))</f>
        <v>wrocheh7@xinhuanet.com</v>
      </c>
      <c r="H621" s="2" t="str" cm="1">
        <f t="array" ref="H621">_xlfn.XLOOKUP(C621,customers!$A$1:$A$1001,customers!$G$1:$G$1001,customers!A620:H1593)</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7">
        <f t="shared" si="27"/>
        <v>15.54</v>
      </c>
      <c r="N621" t="str">
        <f t="shared" si="28"/>
        <v>Librica</v>
      </c>
      <c r="O621" t="str">
        <f t="shared" si="29"/>
        <v>Dark</v>
      </c>
      <c r="P621" t="str">
        <f>_xlfn.XLOOKUP(C621,customers!$A$1:$A$1001,customers!$I$1:$I$1001,0)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IF(_xlfn.XLOOKUP(C622,customers!$A$1:$A$1001,customers!$C$1:$C$1001,)=0,"",_xlfn.XLOOKUP(C622,customers!$A$1:$A$1001,customers!$C$1:$C$1001,))</f>
        <v>lalawayhh@weather.com</v>
      </c>
      <c r="H622" s="2" t="str" cm="1">
        <f t="array" ref="H622">_xlfn.XLOOKUP(C622,customers!$A$1:$A$1001,customers!$G$1:$G$1001,customers!A621:H1594)</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7">
        <f t="shared" si="27"/>
        <v>20.25</v>
      </c>
      <c r="N622" t="str">
        <f t="shared" si="28"/>
        <v>Arabic</v>
      </c>
      <c r="O622" t="str">
        <f t="shared" si="29"/>
        <v>Medium</v>
      </c>
      <c r="P622" t="str">
        <f>_xlfn.XLOOKUP(C622,customers!$A$1:$A$1001,customers!$I$1:$I$1001,0)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IF(_xlfn.XLOOKUP(C623,customers!$A$1:$A$1001,customers!$C$1:$C$1001,)=0,"",_xlfn.XLOOKUP(C623,customers!$A$1:$A$1001,customers!$C$1:$C$1001,))</f>
        <v>codgaardh9@nsw.gov.au</v>
      </c>
      <c r="H623" s="2" t="str" cm="1">
        <f t="array" ref="H623">_xlfn.XLOOKUP(C623,customers!$A$1:$A$1001,customers!$G$1:$G$1001,customers!A622:H1595)</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7">
        <f t="shared" si="27"/>
        <v>77.699999999999989</v>
      </c>
      <c r="N623" t="str">
        <f t="shared" si="28"/>
        <v>Arabic</v>
      </c>
      <c r="O623" t="str">
        <f t="shared" si="29"/>
        <v>Large</v>
      </c>
      <c r="P623" t="str">
        <f>_xlfn.XLOOKUP(C623,customers!$A$1:$A$1001,customers!$I$1:$I$1001,0)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IF(_xlfn.XLOOKUP(C624,customers!$A$1:$A$1001,customers!$C$1:$C$1001,)=0,"",_xlfn.XLOOKUP(C624,customers!$A$1:$A$1001,customers!$C$1:$C$1001,))</f>
        <v>bbyrdha@4shared.com</v>
      </c>
      <c r="H624" s="2" t="str" cm="1">
        <f t="array" ref="H624">_xlfn.XLOOKUP(C624,customers!$A$1:$A$1001,customers!$G$1:$G$1001,customers!A623:H1596)</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7">
        <f t="shared" si="27"/>
        <v>133.85999999999999</v>
      </c>
      <c r="N624" t="str">
        <f t="shared" si="28"/>
        <v>Librica</v>
      </c>
      <c r="O624" t="str">
        <f t="shared" si="29"/>
        <v>Medium</v>
      </c>
      <c r="P624" t="str">
        <f>_xlfn.XLOOKUP(C624,customers!$A$1:$A$1001,customers!$I$1:$I$1001,0)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IF(_xlfn.XLOOKUP(C625,customers!$A$1:$A$1001,customers!$C$1:$C$1001,)=0,"",_xlfn.XLOOKUP(C625,customers!$A$1:$A$1001,customers!$C$1:$C$1001,))</f>
        <v/>
      </c>
      <c r="H625" s="2" t="str" cm="1">
        <f t="array" ref="H625">_xlfn.XLOOKUP(C625,customers!$A$1:$A$1001,customers!$G$1:$G$1001,customers!A624:H1597)</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7">
        <f t="shared" si="27"/>
        <v>12.15</v>
      </c>
      <c r="N625" t="str">
        <f t="shared" si="28"/>
        <v>Excelsa</v>
      </c>
      <c r="O625" t="str">
        <f t="shared" si="29"/>
        <v>Dark</v>
      </c>
      <c r="P625" t="str">
        <f>_xlfn.XLOOKUP(C625,customers!$A$1:$A$1001,customers!$I$1:$I$1001,0)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IF(_xlfn.XLOOKUP(C626,customers!$A$1:$A$1001,customers!$C$1:$C$1001,)=0,"",_xlfn.XLOOKUP(C626,customers!$A$1:$A$1001,customers!$C$1:$C$1001,))</f>
        <v>dchardinhc@nhs.uk</v>
      </c>
      <c r="H626" s="2" t="str" cm="1">
        <f t="array" ref="H626">_xlfn.XLOOKUP(C626,customers!$A$1:$A$1001,customers!$G$1:$G$1001,customers!A625:H1598)</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7">
        <f t="shared" si="27"/>
        <v>63.249999999999993</v>
      </c>
      <c r="N626" t="str">
        <f t="shared" si="28"/>
        <v>Excelsa</v>
      </c>
      <c r="O626" t="str">
        <f t="shared" si="29"/>
        <v>Medium</v>
      </c>
      <c r="P626" t="str">
        <f>_xlfn.XLOOKUP(C626,customers!$A$1:$A$1001,customers!$I$1:$I$1001,0)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IF(_xlfn.XLOOKUP(C627,customers!$A$1:$A$1001,customers!$C$1:$C$1001,)=0,"",_xlfn.XLOOKUP(C627,customers!$A$1:$A$1001,customers!$C$1:$C$1001,))</f>
        <v>hradbonehd@newsvine.com</v>
      </c>
      <c r="H627" s="2" t="str" cm="1">
        <f t="array" ref="H627">_xlfn.XLOOKUP(C627,customers!$A$1:$A$1001,customers!$G$1:$G$1001,customers!A626:H1599)</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7">
        <f t="shared" si="27"/>
        <v>35.849999999999994</v>
      </c>
      <c r="N627" t="str">
        <f t="shared" si="28"/>
        <v>Robusta</v>
      </c>
      <c r="O627" t="str">
        <f t="shared" si="29"/>
        <v>Large</v>
      </c>
      <c r="P627" t="str">
        <f>_xlfn.XLOOKUP(C627,customers!$A$1:$A$1001,customers!$I$1:$I$1001,0)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IF(_xlfn.XLOOKUP(C628,customers!$A$1:$A$1001,customers!$C$1:$C$1001,)=0,"",_xlfn.XLOOKUP(C628,customers!$A$1:$A$1001,customers!$C$1:$C$1001,))</f>
        <v>wbernthhe@miitbeian.gov.cn</v>
      </c>
      <c r="H628" s="2" t="str" cm="1">
        <f t="array" ref="H628">_xlfn.XLOOKUP(C628,customers!$A$1:$A$1001,customers!$G$1:$G$1001,customers!A627:H1600)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7">
        <f t="shared" si="27"/>
        <v>77.624999999999986</v>
      </c>
      <c r="N628" t="str">
        <f t="shared" si="28"/>
        <v>Arabic</v>
      </c>
      <c r="O628" t="str">
        <f t="shared" si="29"/>
        <v>Medium</v>
      </c>
      <c r="P628" t="str">
        <f>_xlfn.XLOOKUP(C628,customers!$A$1:$A$1001,customers!$I$1:$I$1001,0)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IF(_xlfn.XLOOKUP(C629,customers!$A$1:$A$1001,customers!$C$1:$C$1001,)=0,"",_xlfn.XLOOKUP(C629,customers!$A$1:$A$1001,customers!$C$1:$C$1001,))</f>
        <v>bacarsonhf@cnn.com</v>
      </c>
      <c r="H629" s="2" t="str" cm="1">
        <f t="array" ref="H629">_xlfn.XLOOKUP(C629,customers!$A$1:$A$1001,customers!$G$1:$G$1001,customers!A628:H1601)</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7">
        <f t="shared" si="27"/>
        <v>63.249999999999993</v>
      </c>
      <c r="N629" t="str">
        <f t="shared" si="28"/>
        <v>Excelsa</v>
      </c>
      <c r="O629" t="str">
        <f t="shared" si="29"/>
        <v>Medium</v>
      </c>
      <c r="P629" t="str">
        <f>_xlfn.XLOOKUP(C629,customers!$A$1:$A$1001,customers!$I$1:$I$1001,0)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IF(_xlfn.XLOOKUP(C630,customers!$A$1:$A$1001,customers!$C$1:$C$1001,)=0,"",_xlfn.XLOOKUP(C630,customers!$A$1:$A$1001,customers!$C$1:$C$1001,))</f>
        <v>fbrighamhg@blog.com</v>
      </c>
      <c r="H630" s="2" t="str" cm="1">
        <f t="array" ref="H630">_xlfn.XLOOKUP(C630,customers!$A$1:$A$1001,customers!$G$1:$G$1001,customers!A629:H1602)</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7">
        <f t="shared" si="27"/>
        <v>26.73</v>
      </c>
      <c r="N630" t="str">
        <f t="shared" si="28"/>
        <v>Excelsa</v>
      </c>
      <c r="O630" t="str">
        <f t="shared" si="29"/>
        <v>Large</v>
      </c>
      <c r="P630" t="str">
        <f>_xlfn.XLOOKUP(C630,customers!$A$1:$A$1001,customers!$I$1:$I$1001,0)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IF(_xlfn.XLOOKUP(C631,customers!$A$1:$A$1001,customers!$C$1:$C$1001,)=0,"",_xlfn.XLOOKUP(C631,customers!$A$1:$A$1001,customers!$C$1:$C$1001,))</f>
        <v>fbrighamhg@blog.com</v>
      </c>
      <c r="H631" s="2" t="str" cm="1">
        <f t="array" ref="H631">_xlfn.XLOOKUP(C631,customers!$A$1:$A$1001,customers!$G$1:$G$1001,customers!A630:H1603)</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7">
        <f t="shared" si="27"/>
        <v>31.08</v>
      </c>
      <c r="N631" t="str">
        <f t="shared" si="28"/>
        <v>Librica</v>
      </c>
      <c r="O631" t="str">
        <f t="shared" si="29"/>
        <v>Dark</v>
      </c>
      <c r="P631" t="str">
        <f>_xlfn.XLOOKUP(C631,customers!$A$1:$A$1001,customers!$I$1:$I$1001,0)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IF(_xlfn.XLOOKUP(C632,customers!$A$1:$A$1001,customers!$C$1:$C$1001,)=0,"",_xlfn.XLOOKUP(C632,customers!$A$1:$A$1001,customers!$C$1:$C$1001,))</f>
        <v>fbrighamhg@blog.com</v>
      </c>
      <c r="H632" s="2" t="str" cm="1">
        <f t="array" ref="H632">_xlfn.XLOOKUP(C632,customers!$A$1:$A$1001,customers!$G$1:$G$1001,customers!A631:H1604)</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7">
        <f t="shared" si="27"/>
        <v>2.9849999999999999</v>
      </c>
      <c r="N632" t="str">
        <f t="shared" si="28"/>
        <v>Arabic</v>
      </c>
      <c r="O632" t="str">
        <f t="shared" si="29"/>
        <v>Dark</v>
      </c>
      <c r="P632" t="str">
        <f>_xlfn.XLOOKUP(C632,customers!$A$1:$A$1001,customers!$I$1:$I$1001,0)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IF(_xlfn.XLOOKUP(C633,customers!$A$1:$A$1001,customers!$C$1:$C$1001,)=0,"",_xlfn.XLOOKUP(C633,customers!$A$1:$A$1001,customers!$C$1:$C$1001,))</f>
        <v>fbrighamhg@blog.com</v>
      </c>
      <c r="H633" s="2" t="str" cm="1">
        <f t="array" ref="H633">_xlfn.XLOOKUP(C633,customers!$A$1:$A$1001,customers!$G$1:$G$1001,customers!A632:H1605)</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7">
        <f t="shared" si="27"/>
        <v>102.92499999999998</v>
      </c>
      <c r="N633" t="str">
        <f t="shared" si="28"/>
        <v>Robusta</v>
      </c>
      <c r="O633" t="str">
        <f t="shared" si="29"/>
        <v>Dark</v>
      </c>
      <c r="P633" t="str">
        <f>_xlfn.XLOOKUP(C633,customers!$A$1:$A$1001,customers!$I$1:$I$1001,0)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IF(_xlfn.XLOOKUP(C634,customers!$A$1:$A$1001,customers!$C$1:$C$1001,)=0,"",_xlfn.XLOOKUP(C634,customers!$A$1:$A$1001,customers!$C$1:$C$1001,))</f>
        <v>myoxenhk@google.com</v>
      </c>
      <c r="H634" s="2" t="str" cm="1">
        <f t="array" ref="H634">_xlfn.XLOOKUP(C634,customers!$A$1:$A$1001,customers!$G$1:$G$1001,customers!A633:H1606)</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7">
        <f t="shared" si="27"/>
        <v>35.64</v>
      </c>
      <c r="N634" t="str">
        <f t="shared" si="28"/>
        <v>Excelsa</v>
      </c>
      <c r="O634" t="str">
        <f t="shared" si="29"/>
        <v>Large</v>
      </c>
      <c r="P634" t="str">
        <f>_xlfn.XLOOKUP(C634,customers!$A$1:$A$1001,customers!$I$1:$I$1001,0)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IF(_xlfn.XLOOKUP(C635,customers!$A$1:$A$1001,customers!$C$1:$C$1001,)=0,"",_xlfn.XLOOKUP(C635,customers!$A$1:$A$1001,customers!$C$1:$C$1001,))</f>
        <v>gmcgavinhl@histats.com</v>
      </c>
      <c r="H635" s="2" t="str" cm="1">
        <f t="array" ref="H635">_xlfn.XLOOKUP(C635,customers!$A$1:$A$1001,customers!$G$1:$G$1001,customers!A634:H1607)</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7">
        <f t="shared" si="27"/>
        <v>47.8</v>
      </c>
      <c r="N635" t="str">
        <f t="shared" si="28"/>
        <v>Robusta</v>
      </c>
      <c r="O635" t="str">
        <f t="shared" si="29"/>
        <v>Large</v>
      </c>
      <c r="P635" t="str">
        <f>_xlfn.XLOOKUP(C635,customers!$A$1:$A$1001,customers!$I$1:$I$1001,0)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IF(_xlfn.XLOOKUP(C636,customers!$A$1:$A$1001,customers!$C$1:$C$1001,)=0,"",_xlfn.XLOOKUP(C636,customers!$A$1:$A$1001,customers!$C$1:$C$1001,))</f>
        <v>luttermarehm@engadget.com</v>
      </c>
      <c r="H636" s="2" t="str" cm="1">
        <f t="array" ref="H636">_xlfn.XLOOKUP(C636,customers!$A$1:$A$1001,customers!$G$1:$G$1001,customers!A635:H1608)</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7">
        <f t="shared" si="27"/>
        <v>43.650000000000006</v>
      </c>
      <c r="N636" t="str">
        <f t="shared" si="28"/>
        <v>Librica</v>
      </c>
      <c r="O636" t="str">
        <f t="shared" si="29"/>
        <v>Medium</v>
      </c>
      <c r="P636" t="str">
        <f>_xlfn.XLOOKUP(C636,customers!$A$1:$A$1001,customers!$I$1:$I$1001,0)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IF(_xlfn.XLOOKUP(C637,customers!$A$1:$A$1001,customers!$C$1:$C$1001,)=0,"",_xlfn.XLOOKUP(C637,customers!$A$1:$A$1001,customers!$C$1:$C$1001,))</f>
        <v>edambrogiohn@techcrunch.com</v>
      </c>
      <c r="H637" s="2" t="str" cm="1">
        <f t="array" ref="H637">_xlfn.XLOOKUP(C637,customers!$A$1:$A$1001,customers!$G$1:$G$1001,customers!A636:H1609)</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7">
        <f t="shared" si="27"/>
        <v>35.64</v>
      </c>
      <c r="N637" t="str">
        <f t="shared" si="28"/>
        <v>Excelsa</v>
      </c>
      <c r="O637" t="str">
        <f t="shared" si="29"/>
        <v>Large</v>
      </c>
      <c r="P637" t="str">
        <f>_xlfn.XLOOKUP(C637,customers!$A$1:$A$1001,customers!$I$1:$I$1001,0)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IF(_xlfn.XLOOKUP(C638,customers!$A$1:$A$1001,customers!$C$1:$C$1001,)=0,"",_xlfn.XLOOKUP(C638,customers!$A$1:$A$1001,customers!$C$1:$C$1001,))</f>
        <v>cwinchcombeho@jiathis.com</v>
      </c>
      <c r="H638" s="2" t="str" cm="1">
        <f t="array" ref="H638">_xlfn.XLOOKUP(C638,customers!$A$1:$A$1001,customers!$G$1:$G$1001,customers!A637:H1610)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7">
        <f t="shared" si="27"/>
        <v>95.1</v>
      </c>
      <c r="N638" t="str">
        <f t="shared" si="28"/>
        <v>Librica</v>
      </c>
      <c r="O638" t="str">
        <f t="shared" si="29"/>
        <v>Large</v>
      </c>
      <c r="P638" t="str">
        <f>_xlfn.XLOOKUP(C638,customers!$A$1:$A$1001,customers!$I$1:$I$1001,0)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IF(_xlfn.XLOOKUP(C639,customers!$A$1:$A$1001,customers!$C$1:$C$1001,)=0,"",_xlfn.XLOOKUP(C639,customers!$A$1:$A$1001,customers!$C$1:$C$1001,))</f>
        <v>bpaumierhp@umn.edu</v>
      </c>
      <c r="H639" s="2" t="str" cm="1">
        <f t="array" ref="H639">_xlfn.XLOOKUP(C639,customers!$A$1:$A$1001,customers!$G$1:$G$1001,customers!A638:H1611)</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7">
        <f t="shared" si="27"/>
        <v>31.624999999999996</v>
      </c>
      <c r="N639" t="str">
        <f t="shared" si="28"/>
        <v>Excelsa</v>
      </c>
      <c r="O639" t="str">
        <f t="shared" si="29"/>
        <v>Medium</v>
      </c>
      <c r="P639" t="str">
        <f>_xlfn.XLOOKUP(C639,customers!$A$1:$A$1001,customers!$I$1:$I$1001,0)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IF(_xlfn.XLOOKUP(C640,customers!$A$1:$A$1001,customers!$C$1:$C$1001,)=0,"",_xlfn.XLOOKUP(C640,customers!$A$1:$A$1001,customers!$C$1:$C$1001,))</f>
        <v/>
      </c>
      <c r="H640" s="2" t="str" cm="1">
        <f t="array" ref="H640">_xlfn.XLOOKUP(C640,customers!$A$1:$A$1001,customers!$G$1:$G$1001,customers!A639:H1612)</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7">
        <f t="shared" si="27"/>
        <v>77.624999999999986</v>
      </c>
      <c r="N640" t="str">
        <f t="shared" si="28"/>
        <v>Arabic</v>
      </c>
      <c r="O640" t="str">
        <f t="shared" si="29"/>
        <v>Medium</v>
      </c>
      <c r="P640" t="str">
        <f>_xlfn.XLOOKUP(C640,customers!$A$1:$A$1001,customers!$I$1:$I$1001,0)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IF(_xlfn.XLOOKUP(C641,customers!$A$1:$A$1001,customers!$C$1:$C$1001,)=0,"",_xlfn.XLOOKUP(C641,customers!$A$1:$A$1001,customers!$C$1:$C$1001,))</f>
        <v>jcapeyhr@bravesites.com</v>
      </c>
      <c r="H641" s="2" t="str" cm="1">
        <f t="array" ref="H641">_xlfn.XLOOKUP(C641,customers!$A$1:$A$1001,customers!$G$1:$G$1001,customers!A640:H1613)</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7">
        <f t="shared" si="27"/>
        <v>3.8849999999999998</v>
      </c>
      <c r="N641" t="str">
        <f t="shared" si="28"/>
        <v>Librica</v>
      </c>
      <c r="O641" t="str">
        <f t="shared" si="29"/>
        <v>Dark</v>
      </c>
      <c r="P641" t="str">
        <f>_xlfn.XLOOKUP(C641,customers!$A$1:$A$1001,customers!$I$1:$I$1001,0)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IF(_xlfn.XLOOKUP(C642,customers!$A$1:$A$1001,customers!$C$1:$C$1001,)=0,"",_xlfn.XLOOKUP(C642,customers!$A$1:$A$1001,customers!$C$1:$C$1001,))</f>
        <v>tmathonneti0@google.co.jp</v>
      </c>
      <c r="H642" s="2" t="str" cm="1">
        <f t="array" ref="H642">_xlfn.XLOOKUP(C642,customers!$A$1:$A$1001,customers!$G$1:$G$1001,customers!A641:H1614)</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7">
        <f t="shared" si="27"/>
        <v>137.42499999999998</v>
      </c>
      <c r="N642" t="str">
        <f t="shared" si="28"/>
        <v>Robusta</v>
      </c>
      <c r="O642" t="str">
        <f t="shared" si="29"/>
        <v>Large</v>
      </c>
      <c r="P642" t="str">
        <f>_xlfn.XLOOKUP(C642,customers!$A$1:$A$1001,customers!$I$1:$I$1001,0)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IF(_xlfn.XLOOKUP(C643,customers!$A$1:$A$1001,customers!$C$1:$C$1001,)=0,"",_xlfn.XLOOKUP(C643,customers!$A$1:$A$1001,customers!$C$1:$C$1001,))</f>
        <v>ybasillht@theguardian.com</v>
      </c>
      <c r="H643" s="2" t="str" cm="1">
        <f t="array" ref="H643">_xlfn.XLOOKUP(C643,customers!$A$1:$A$1001,customers!$G$1:$G$1001,customers!A642:H1615)</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7">
        <f t="shared" ref="M643:M706" si="30">L643*E643</f>
        <v>35.849999999999994</v>
      </c>
      <c r="N643" t="str">
        <f t="shared" ref="N643:N706" si="31">IF(I643="Rob","Robusta",IF(I643="Exc","Excelsa",IF(I643="Ara","Arabic",IF(I643="Lib","Librica"))))</f>
        <v>Robusta</v>
      </c>
      <c r="O643" t="str">
        <f t="shared" ref="O643:O706" si="32">IF(J643="M","Medium",IF(J643="L","Large",IF(J643="D","Dark")))</f>
        <v>Large</v>
      </c>
      <c r="P643" t="str">
        <f>_xlfn.XLOOKUP(C643,customers!$A$1:$A$1001,customers!$I$1:$I$1001,0)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IF(_xlfn.XLOOKUP(C644,customers!$A$1:$A$1001,customers!$C$1:$C$1001,)=0,"",_xlfn.XLOOKUP(C644,customers!$A$1:$A$1001,customers!$C$1:$C$1001,))</f>
        <v>mbaistowhu@i2i.jp</v>
      </c>
      <c r="H644" s="2" t="str" cm="1">
        <f t="array" ref="H644">_xlfn.XLOOKUP(C644,customers!$A$1:$A$1001,customers!$G$1:$G$1001,customers!A643:H1616)</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7">
        <f t="shared" si="30"/>
        <v>8.25</v>
      </c>
      <c r="N644" t="str">
        <f t="shared" si="31"/>
        <v>Excelsa</v>
      </c>
      <c r="O644" t="str">
        <f t="shared" si="32"/>
        <v>Medium</v>
      </c>
      <c r="P644" t="str">
        <f>_xlfn.XLOOKUP(C644,customers!$A$1:$A$1001,customers!$I$1:$I$1001,0)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IF(_xlfn.XLOOKUP(C645,customers!$A$1:$A$1001,customers!$C$1:$C$1001,)=0,"",_xlfn.XLOOKUP(C645,customers!$A$1:$A$1001,customers!$C$1:$C$1001,))</f>
        <v>cpallanthv@typepad.com</v>
      </c>
      <c r="H645" s="2" t="str" cm="1">
        <f t="array" ref="H645">_xlfn.XLOOKUP(C645,customers!$A$1:$A$1001,customers!$G$1:$G$1001,customers!A644:H1617)</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7">
        <f t="shared" si="30"/>
        <v>102.46499999999997</v>
      </c>
      <c r="N645" t="str">
        <f t="shared" si="31"/>
        <v>Excelsa</v>
      </c>
      <c r="O645" t="str">
        <f t="shared" si="32"/>
        <v>Large</v>
      </c>
      <c r="P645" t="str">
        <f>_xlfn.XLOOKUP(C645,customers!$A$1:$A$1001,customers!$I$1:$I$1001,0)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IF(_xlfn.XLOOKUP(C646,customers!$A$1:$A$1001,customers!$C$1:$C$1001,)=0,"",_xlfn.XLOOKUP(C646,customers!$A$1:$A$1001,customers!$C$1:$C$1001,))</f>
        <v/>
      </c>
      <c r="H646" s="2" t="str" cm="1">
        <f t="array" ref="H646">_xlfn.XLOOKUP(C646,customers!$A$1:$A$1001,customers!$G$1:$G$1001,customers!A645:H1618)</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7">
        <f t="shared" si="30"/>
        <v>41.169999999999995</v>
      </c>
      <c r="N646" t="str">
        <f t="shared" si="31"/>
        <v>Robusta</v>
      </c>
      <c r="O646" t="str">
        <f t="shared" si="32"/>
        <v>Dark</v>
      </c>
      <c r="P646" t="str">
        <f>_xlfn.XLOOKUP(C646,customers!$A$1:$A$1001,customers!$I$1:$I$1001,0)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IF(_xlfn.XLOOKUP(C647,customers!$A$1:$A$1001,customers!$C$1:$C$1001,)=0,"",_xlfn.XLOOKUP(C647,customers!$A$1:$A$1001,customers!$C$1:$C$1001,))</f>
        <v>dohx@redcross.org</v>
      </c>
      <c r="H647" s="2" t="str" cm="1">
        <f t="array" ref="H647">_xlfn.XLOOKUP(C647,customers!$A$1:$A$1001,customers!$G$1:$G$1001,customers!A646:H1619)</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7">
        <f t="shared" si="30"/>
        <v>68.655000000000001</v>
      </c>
      <c r="N647" t="str">
        <f t="shared" si="31"/>
        <v>Arabic</v>
      </c>
      <c r="O647" t="str">
        <f t="shared" si="32"/>
        <v>Dark</v>
      </c>
      <c r="P647" t="str">
        <f>_xlfn.XLOOKUP(C647,customers!$A$1:$A$1001,customers!$I$1:$I$1001,0)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IF(_xlfn.XLOOKUP(C648,customers!$A$1:$A$1001,customers!$C$1:$C$1001,)=0,"",_xlfn.XLOOKUP(C648,customers!$A$1:$A$1001,customers!$C$1:$C$1001,))</f>
        <v>drallinhy@howstuffworks.com</v>
      </c>
      <c r="H648" s="2" t="str" cm="1">
        <f t="array" ref="H648">_xlfn.XLOOKUP(C648,customers!$A$1:$A$1001,customers!$G$1:$G$1001,customers!A647:H1620)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7">
        <f t="shared" si="30"/>
        <v>9.9499999999999993</v>
      </c>
      <c r="N648" t="str">
        <f t="shared" si="31"/>
        <v>Arabic</v>
      </c>
      <c r="O648" t="str">
        <f t="shared" si="32"/>
        <v>Dark</v>
      </c>
      <c r="P648" t="str">
        <f>_xlfn.XLOOKUP(C648,customers!$A$1:$A$1001,customers!$I$1:$I$1001,0)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IF(_xlfn.XLOOKUP(C649,customers!$A$1:$A$1001,customers!$C$1:$C$1001,)=0,"",_xlfn.XLOOKUP(C649,customers!$A$1:$A$1001,customers!$C$1:$C$1001,))</f>
        <v>achillhz@epa.gov</v>
      </c>
      <c r="H649" s="2" t="str" cm="1">
        <f t="array" ref="H649">_xlfn.XLOOKUP(C649,customers!$A$1:$A$1001,customers!$G$1:$G$1001,customers!A648:H1621)</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7">
        <f t="shared" si="30"/>
        <v>28.53</v>
      </c>
      <c r="N649" t="str">
        <f t="shared" si="31"/>
        <v>Librica</v>
      </c>
      <c r="O649" t="str">
        <f t="shared" si="32"/>
        <v>Large</v>
      </c>
      <c r="P649" t="str">
        <f>_xlfn.XLOOKUP(C649,customers!$A$1:$A$1001,customers!$I$1:$I$1001,0)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IF(_xlfn.XLOOKUP(C650,customers!$A$1:$A$1001,customers!$C$1:$C$1001,)=0,"",_xlfn.XLOOKUP(C650,customers!$A$1:$A$1001,customers!$C$1:$C$1001,))</f>
        <v>tmathonneti0@google.co.jp</v>
      </c>
      <c r="H650" s="2" t="str" cm="1">
        <f t="array" ref="H650">_xlfn.XLOOKUP(C650,customers!$A$1:$A$1001,customers!$G$1:$G$1001,customers!A649:H1622)</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7">
        <f t="shared" si="30"/>
        <v>16.11</v>
      </c>
      <c r="N650" t="str">
        <f t="shared" si="31"/>
        <v>Robusta</v>
      </c>
      <c r="O650" t="str">
        <f t="shared" si="32"/>
        <v>Dark</v>
      </c>
      <c r="P650" t="str">
        <f>_xlfn.XLOOKUP(C650,customers!$A$1:$A$1001,customers!$I$1:$I$1001,0)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IF(_xlfn.XLOOKUP(C651,customers!$A$1:$A$1001,customers!$C$1:$C$1001,)=0,"",_xlfn.XLOOKUP(C651,customers!$A$1:$A$1001,customers!$C$1:$C$1001,))</f>
        <v>cdenysi1@is.gd</v>
      </c>
      <c r="H651" s="2" t="str" cm="1">
        <f t="array" ref="H651">_xlfn.XLOOKUP(C651,customers!$A$1:$A$1001,customers!$G$1:$G$1001,customers!A650:H1623)</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7">
        <f t="shared" si="30"/>
        <v>95.1</v>
      </c>
      <c r="N651" t="str">
        <f t="shared" si="31"/>
        <v>Librica</v>
      </c>
      <c r="O651" t="str">
        <f t="shared" si="32"/>
        <v>Large</v>
      </c>
      <c r="P651" t="str">
        <f>_xlfn.XLOOKUP(C651,customers!$A$1:$A$1001,customers!$I$1:$I$1001,0)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IF(_xlfn.XLOOKUP(C652,customers!$A$1:$A$1001,customers!$C$1:$C$1001,)=0,"",_xlfn.XLOOKUP(C652,customers!$A$1:$A$1001,customers!$C$1:$C$1001,))</f>
        <v>cstebbingsi2@drupal.org</v>
      </c>
      <c r="H652" s="2" t="str" cm="1">
        <f t="array" ref="H652">_xlfn.XLOOKUP(C652,customers!$A$1:$A$1001,customers!$G$1:$G$1001,customers!A651:H1624)</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7">
        <f t="shared" si="30"/>
        <v>5.3699999999999992</v>
      </c>
      <c r="N652" t="str">
        <f t="shared" si="31"/>
        <v>Robusta</v>
      </c>
      <c r="O652" t="str">
        <f t="shared" si="32"/>
        <v>Dark</v>
      </c>
      <c r="P652" t="str">
        <f>_xlfn.XLOOKUP(C652,customers!$A$1:$A$1001,customers!$I$1:$I$1001,0)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IF(_xlfn.XLOOKUP(C653,customers!$A$1:$A$1001,customers!$C$1:$C$1001,)=0,"",_xlfn.XLOOKUP(C653,customers!$A$1:$A$1001,customers!$C$1:$C$1001,))</f>
        <v/>
      </c>
      <c r="H653" s="2" t="str" cm="1">
        <f t="array" ref="H653">_xlfn.XLOOKUP(C653,customers!$A$1:$A$1001,customers!$G$1:$G$1001,customers!A652:H1625)</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7">
        <f t="shared" si="30"/>
        <v>47.8</v>
      </c>
      <c r="N653" t="str">
        <f t="shared" si="31"/>
        <v>Robusta</v>
      </c>
      <c r="O653" t="str">
        <f t="shared" si="32"/>
        <v>Large</v>
      </c>
      <c r="P653" t="str">
        <f>_xlfn.XLOOKUP(C653,customers!$A$1:$A$1001,customers!$I$1:$I$1001,0)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IF(_xlfn.XLOOKUP(C654,customers!$A$1:$A$1001,customers!$C$1:$C$1001,)=0,"",_xlfn.XLOOKUP(C654,customers!$A$1:$A$1001,customers!$C$1:$C$1001,))</f>
        <v>rzywickii4@ifeng.com</v>
      </c>
      <c r="H654" s="2" t="str" cm="1">
        <f t="array" ref="H654">_xlfn.XLOOKUP(C654,customers!$A$1:$A$1001,customers!$G$1:$G$1001,customers!A653:H1626)</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7">
        <f t="shared" si="30"/>
        <v>63.4</v>
      </c>
      <c r="N654" t="str">
        <f t="shared" si="31"/>
        <v>Librica</v>
      </c>
      <c r="O654" t="str">
        <f t="shared" si="32"/>
        <v>Large</v>
      </c>
      <c r="P654" t="str">
        <f>_xlfn.XLOOKUP(C654,customers!$A$1:$A$1001,customers!$I$1:$I$1001,0)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IF(_xlfn.XLOOKUP(C655,customers!$A$1:$A$1001,customers!$C$1:$C$1001,)=0,"",_xlfn.XLOOKUP(C655,customers!$A$1:$A$1001,customers!$C$1:$C$1001,))</f>
        <v>aburgetti5@moonfruit.com</v>
      </c>
      <c r="H655" s="2" t="str" cm="1">
        <f t="array" ref="H655">_xlfn.XLOOKUP(C655,customers!$A$1:$A$1001,customers!$G$1:$G$1001,customers!A654:H1627)</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7">
        <f t="shared" si="30"/>
        <v>103.49999999999999</v>
      </c>
      <c r="N655" t="str">
        <f t="shared" si="31"/>
        <v>Arabic</v>
      </c>
      <c r="O655" t="str">
        <f t="shared" si="32"/>
        <v>Medium</v>
      </c>
      <c r="P655" t="str">
        <f>_xlfn.XLOOKUP(C655,customers!$A$1:$A$1001,customers!$I$1:$I$1001,0)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IF(_xlfn.XLOOKUP(C656,customers!$A$1:$A$1001,customers!$C$1:$C$1001,)=0,"",_xlfn.XLOOKUP(C656,customers!$A$1:$A$1001,customers!$C$1:$C$1001,))</f>
        <v>mmalloyi6@seattletimes.com</v>
      </c>
      <c r="H656" s="2" t="str" cm="1">
        <f t="array" ref="H656">_xlfn.XLOOKUP(C656,customers!$A$1:$A$1001,customers!$G$1:$G$1001,customers!A655:H1628)</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7">
        <f t="shared" si="30"/>
        <v>68.655000000000001</v>
      </c>
      <c r="N656" t="str">
        <f t="shared" si="31"/>
        <v>Arabic</v>
      </c>
      <c r="O656" t="str">
        <f t="shared" si="32"/>
        <v>Dark</v>
      </c>
      <c r="P656" t="str">
        <f>_xlfn.XLOOKUP(C656,customers!$A$1:$A$1001,customers!$I$1:$I$1001,0)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IF(_xlfn.XLOOKUP(C657,customers!$A$1:$A$1001,customers!$C$1:$C$1001,)=0,"",_xlfn.XLOOKUP(C657,customers!$A$1:$A$1001,customers!$C$1:$C$1001,))</f>
        <v>mmcparlandi7@w3.org</v>
      </c>
      <c r="H657" s="2" t="str" cm="1">
        <f t="array" ref="H657">_xlfn.XLOOKUP(C657,customers!$A$1:$A$1001,customers!$G$1:$G$1001,customers!A656:H1629)</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7">
        <f t="shared" si="30"/>
        <v>45.769999999999996</v>
      </c>
      <c r="N657" t="str">
        <f t="shared" si="31"/>
        <v>Robusta</v>
      </c>
      <c r="O657" t="str">
        <f t="shared" si="32"/>
        <v>Medium</v>
      </c>
      <c r="P657" t="str">
        <f>_xlfn.XLOOKUP(C657,customers!$A$1:$A$1001,customers!$I$1:$I$1001,0)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IF(_xlfn.XLOOKUP(C658,customers!$A$1:$A$1001,customers!$C$1:$C$1001,)=0,"",_xlfn.XLOOKUP(C658,customers!$A$1:$A$1001,customers!$C$1:$C$1001,))</f>
        <v>sjennaroyi8@purevolume.com</v>
      </c>
      <c r="H658" s="2" t="str" cm="1">
        <f t="array" ref="H658">_xlfn.XLOOKUP(C658,customers!$A$1:$A$1001,customers!$G$1:$G$1001,customers!A657:H1630)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7">
        <f t="shared" si="30"/>
        <v>51.8</v>
      </c>
      <c r="N658" t="str">
        <f t="shared" si="31"/>
        <v>Librica</v>
      </c>
      <c r="O658" t="str">
        <f t="shared" si="32"/>
        <v>Dark</v>
      </c>
      <c r="P658" t="str">
        <f>_xlfn.XLOOKUP(C658,customers!$A$1:$A$1001,customers!$I$1:$I$1001,0)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IF(_xlfn.XLOOKUP(C659,customers!$A$1:$A$1001,customers!$C$1:$C$1001,)=0,"",_xlfn.XLOOKUP(C659,customers!$A$1:$A$1001,customers!$C$1:$C$1001,))</f>
        <v>wplacei9@wsj.com</v>
      </c>
      <c r="H659" s="2" t="str" cm="1">
        <f t="array" ref="H659">_xlfn.XLOOKUP(C659,customers!$A$1:$A$1001,customers!$G$1:$G$1001,customers!A658:H1631)</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7">
        <f t="shared" si="30"/>
        <v>13.5</v>
      </c>
      <c r="N659" t="str">
        <f t="shared" si="31"/>
        <v>Arabic</v>
      </c>
      <c r="O659" t="str">
        <f t="shared" si="32"/>
        <v>Medium</v>
      </c>
      <c r="P659" t="str">
        <f>_xlfn.XLOOKUP(C659,customers!$A$1:$A$1001,customers!$I$1:$I$1001,0)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IF(_xlfn.XLOOKUP(C660,customers!$A$1:$A$1001,customers!$C$1:$C$1001,)=0,"",_xlfn.XLOOKUP(C660,customers!$A$1:$A$1001,customers!$C$1:$C$1001,))</f>
        <v>jmillettik@addtoany.com</v>
      </c>
      <c r="H660" s="2" t="str" cm="1">
        <f t="array" ref="H660">_xlfn.XLOOKUP(C660,customers!$A$1:$A$1001,customers!$G$1:$G$1001,customers!A659:H1632)</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7">
        <f t="shared" si="30"/>
        <v>24.75</v>
      </c>
      <c r="N660" t="str">
        <f t="shared" si="31"/>
        <v>Excelsa</v>
      </c>
      <c r="O660" t="str">
        <f t="shared" si="32"/>
        <v>Medium</v>
      </c>
      <c r="P660" t="str">
        <f>_xlfn.XLOOKUP(C660,customers!$A$1:$A$1001,customers!$I$1:$I$1001,0)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IF(_xlfn.XLOOKUP(C661,customers!$A$1:$A$1001,customers!$C$1:$C$1001,)=0,"",_xlfn.XLOOKUP(C661,customers!$A$1:$A$1001,customers!$C$1:$C$1001,))</f>
        <v>dgadsdenib@google.com.hk</v>
      </c>
      <c r="H661" s="2" t="str" cm="1">
        <f t="array" ref="H661">_xlfn.XLOOKUP(C661,customers!$A$1:$A$1001,customers!$G$1:$G$1001,customers!A660:H1633)</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7">
        <f t="shared" si="30"/>
        <v>45.769999999999996</v>
      </c>
      <c r="N661" t="str">
        <f t="shared" si="31"/>
        <v>Arabic</v>
      </c>
      <c r="O661" t="str">
        <f t="shared" si="32"/>
        <v>Dark</v>
      </c>
      <c r="P661" t="str">
        <f>_xlfn.XLOOKUP(C661,customers!$A$1:$A$1001,customers!$I$1:$I$1001,0)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IF(_xlfn.XLOOKUP(C662,customers!$A$1:$A$1001,customers!$C$1:$C$1001,)=0,"",_xlfn.XLOOKUP(C662,customers!$A$1:$A$1001,customers!$C$1:$C$1001,))</f>
        <v>vwakelinic@unesco.org</v>
      </c>
      <c r="H662" s="2" t="str" cm="1">
        <f t="array" ref="H662">_xlfn.XLOOKUP(C662,customers!$A$1:$A$1001,customers!$G$1:$G$1001,customers!A661:H1634)</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7">
        <f t="shared" si="30"/>
        <v>53.46</v>
      </c>
      <c r="N662" t="str">
        <f t="shared" si="31"/>
        <v>Excelsa</v>
      </c>
      <c r="O662" t="str">
        <f t="shared" si="32"/>
        <v>Large</v>
      </c>
      <c r="P662" t="str">
        <f>_xlfn.XLOOKUP(C662,customers!$A$1:$A$1001,customers!$I$1:$I$1001,0)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IF(_xlfn.XLOOKUP(C663,customers!$A$1:$A$1001,customers!$C$1:$C$1001,)=0,"",_xlfn.XLOOKUP(C663,customers!$A$1:$A$1001,customers!$C$1:$C$1001,))</f>
        <v>acampsallid@zimbio.com</v>
      </c>
      <c r="H663" s="2" t="str" cm="1">
        <f t="array" ref="H663">_xlfn.XLOOKUP(C663,customers!$A$1:$A$1001,customers!$G$1:$G$1001,customers!A662:H1635)</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7">
        <f t="shared" si="30"/>
        <v>20.25</v>
      </c>
      <c r="N663" t="str">
        <f t="shared" si="31"/>
        <v>Arabic</v>
      </c>
      <c r="O663" t="str">
        <f t="shared" si="32"/>
        <v>Medium</v>
      </c>
      <c r="P663" t="str">
        <f>_xlfn.XLOOKUP(C663,customers!$A$1:$A$1001,customers!$I$1:$I$1001,0)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IF(_xlfn.XLOOKUP(C664,customers!$A$1:$A$1001,customers!$C$1:$C$1001,)=0,"",_xlfn.XLOOKUP(C664,customers!$A$1:$A$1001,customers!$C$1:$C$1001,))</f>
        <v>smosebyie@stanford.edu</v>
      </c>
      <c r="H664" s="2" t="str" cm="1">
        <f t="array" ref="H664">_xlfn.XLOOKUP(C664,customers!$A$1:$A$1001,customers!$G$1:$G$1001,customers!A663:H1636)</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7">
        <f t="shared" si="30"/>
        <v>148.92499999999998</v>
      </c>
      <c r="N664" t="str">
        <f t="shared" si="31"/>
        <v>Librica</v>
      </c>
      <c r="O664" t="str">
        <f t="shared" si="32"/>
        <v>Dark</v>
      </c>
      <c r="P664" t="str">
        <f>_xlfn.XLOOKUP(C664,customers!$A$1:$A$1001,customers!$I$1:$I$1001,0)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IF(_xlfn.XLOOKUP(C665,customers!$A$1:$A$1001,customers!$C$1:$C$1001,)=0,"",_xlfn.XLOOKUP(C665,customers!$A$1:$A$1001,customers!$C$1:$C$1001,))</f>
        <v>cwassif@prweb.com</v>
      </c>
      <c r="H665" s="2" t="str" cm="1">
        <f t="array" ref="H665">_xlfn.XLOOKUP(C665,customers!$A$1:$A$1001,customers!$G$1:$G$1001,customers!A664:H1637)</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7">
        <f t="shared" si="30"/>
        <v>67.5</v>
      </c>
      <c r="N665" t="str">
        <f t="shared" si="31"/>
        <v>Arabic</v>
      </c>
      <c r="O665" t="str">
        <f t="shared" si="32"/>
        <v>Medium</v>
      </c>
      <c r="P665" t="str">
        <f>_xlfn.XLOOKUP(C665,customers!$A$1:$A$1001,customers!$I$1:$I$1001,0)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IF(_xlfn.XLOOKUP(C666,customers!$A$1:$A$1001,customers!$C$1:$C$1001,)=0,"",_xlfn.XLOOKUP(C666,customers!$A$1:$A$1001,customers!$C$1:$C$1001,))</f>
        <v>isjostromig@pbs.org</v>
      </c>
      <c r="H666" s="2" t="str" cm="1">
        <f t="array" ref="H666">_xlfn.XLOOKUP(C666,customers!$A$1:$A$1001,customers!$G$1:$G$1001,customers!A665:H1638)</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7">
        <f t="shared" si="30"/>
        <v>72.900000000000006</v>
      </c>
      <c r="N666" t="str">
        <f t="shared" si="31"/>
        <v>Excelsa</v>
      </c>
      <c r="O666" t="str">
        <f t="shared" si="32"/>
        <v>Dark</v>
      </c>
      <c r="P666" t="str">
        <f>_xlfn.XLOOKUP(C666,customers!$A$1:$A$1001,customers!$I$1:$I$1001,0)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IF(_xlfn.XLOOKUP(C667,customers!$A$1:$A$1001,customers!$C$1:$C$1001,)=0,"",_xlfn.XLOOKUP(C667,customers!$A$1:$A$1001,customers!$C$1:$C$1001,))</f>
        <v>isjostromig@pbs.org</v>
      </c>
      <c r="H667" s="2" t="str" cm="1">
        <f t="array" ref="H667">_xlfn.XLOOKUP(C667,customers!$A$1:$A$1001,customers!$G$1:$G$1001,customers!A666:H1639)</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7">
        <f t="shared" si="30"/>
        <v>7.77</v>
      </c>
      <c r="N667" t="str">
        <f t="shared" si="31"/>
        <v>Librica</v>
      </c>
      <c r="O667" t="str">
        <f t="shared" si="32"/>
        <v>Dark</v>
      </c>
      <c r="P667" t="str">
        <f>_xlfn.XLOOKUP(C667,customers!$A$1:$A$1001,customers!$I$1:$I$1001,0)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IF(_xlfn.XLOOKUP(C668,customers!$A$1:$A$1001,customers!$C$1:$C$1001,)=0,"",_xlfn.XLOOKUP(C668,customers!$A$1:$A$1001,customers!$C$1:$C$1001,))</f>
        <v>jbranchettii@bravesites.com</v>
      </c>
      <c r="H668" s="2" t="str" cm="1">
        <f t="array" ref="H668">_xlfn.XLOOKUP(C668,customers!$A$1:$A$1001,customers!$G$1:$G$1001,customers!A667:H1640)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7">
        <f t="shared" si="30"/>
        <v>91.539999999999992</v>
      </c>
      <c r="N668" t="str">
        <f t="shared" si="31"/>
        <v>Arabic</v>
      </c>
      <c r="O668" t="str">
        <f t="shared" si="32"/>
        <v>Dark</v>
      </c>
      <c r="P668" t="str">
        <f>_xlfn.XLOOKUP(C668,customers!$A$1:$A$1001,customers!$I$1:$I$1001,0)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IF(_xlfn.XLOOKUP(C669,customers!$A$1:$A$1001,customers!$C$1:$C$1001,)=0,"",_xlfn.XLOOKUP(C669,customers!$A$1:$A$1001,customers!$C$1:$C$1001,))</f>
        <v>nrudlandij@blogs.com</v>
      </c>
      <c r="H669" s="2" t="str" cm="1">
        <f t="array" ref="H669">_xlfn.XLOOKUP(C669,customers!$A$1:$A$1001,customers!$G$1:$G$1001,customers!A668:H1641)</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7">
        <f t="shared" si="30"/>
        <v>59.699999999999996</v>
      </c>
      <c r="N669" t="str">
        <f t="shared" si="31"/>
        <v>Arabic</v>
      </c>
      <c r="O669" t="str">
        <f t="shared" si="32"/>
        <v>Dark</v>
      </c>
      <c r="P669" t="str">
        <f>_xlfn.XLOOKUP(C669,customers!$A$1:$A$1001,customers!$I$1:$I$1001,0)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IF(_xlfn.XLOOKUP(C670,customers!$A$1:$A$1001,customers!$C$1:$C$1001,)=0,"",_xlfn.XLOOKUP(C670,customers!$A$1:$A$1001,customers!$C$1:$C$1001,))</f>
        <v>jmillettik@addtoany.com</v>
      </c>
      <c r="H670" s="2" t="str" cm="1">
        <f t="array" ref="H670">_xlfn.XLOOKUP(C670,customers!$A$1:$A$1001,customers!$G$1:$G$1001,customers!A669:H1642)</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7">
        <f t="shared" si="30"/>
        <v>137.42499999999998</v>
      </c>
      <c r="N670" t="str">
        <f t="shared" si="31"/>
        <v>Robusta</v>
      </c>
      <c r="O670" t="str">
        <f t="shared" si="32"/>
        <v>Large</v>
      </c>
      <c r="P670" t="str">
        <f>_xlfn.XLOOKUP(C670,customers!$A$1:$A$1001,customers!$I$1:$I$1001,0)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IF(_xlfn.XLOOKUP(C671,customers!$A$1:$A$1001,customers!$C$1:$C$1001,)=0,"",_xlfn.XLOOKUP(C671,customers!$A$1:$A$1001,customers!$C$1:$C$1001,))</f>
        <v>ftourryil@google.de</v>
      </c>
      <c r="H671" s="2" t="str" cm="1">
        <f t="array" ref="H671">_xlfn.XLOOKUP(C671,customers!$A$1:$A$1001,customers!$G$1:$G$1001,customers!A670:H1643)</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7">
        <f t="shared" si="30"/>
        <v>66.929999999999993</v>
      </c>
      <c r="N671" t="str">
        <f t="shared" si="31"/>
        <v>Librica</v>
      </c>
      <c r="O671" t="str">
        <f t="shared" si="32"/>
        <v>Medium</v>
      </c>
      <c r="P671" t="str">
        <f>_xlfn.XLOOKUP(C671,customers!$A$1:$A$1001,customers!$I$1:$I$1001,0)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IF(_xlfn.XLOOKUP(C672,customers!$A$1:$A$1001,customers!$C$1:$C$1001,)=0,"",_xlfn.XLOOKUP(C672,customers!$A$1:$A$1001,customers!$C$1:$C$1001,))</f>
        <v>cweatherallim@toplist.cz</v>
      </c>
      <c r="H672" s="2" t="str" cm="1">
        <f t="array" ref="H672">_xlfn.XLOOKUP(C672,customers!$A$1:$A$1001,customers!$G$1:$G$1001,customers!A671:H1644)</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7">
        <f t="shared" si="30"/>
        <v>13.095000000000001</v>
      </c>
      <c r="N672" t="str">
        <f t="shared" si="31"/>
        <v>Librica</v>
      </c>
      <c r="O672" t="str">
        <f t="shared" si="32"/>
        <v>Medium</v>
      </c>
      <c r="P672" t="str">
        <f>_xlfn.XLOOKUP(C672,customers!$A$1:$A$1001,customers!$I$1:$I$1001,0)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IF(_xlfn.XLOOKUP(C673,customers!$A$1:$A$1001,customers!$C$1:$C$1001,)=0,"",_xlfn.XLOOKUP(C673,customers!$A$1:$A$1001,customers!$C$1:$C$1001,))</f>
        <v>gheindrickin@usda.gov</v>
      </c>
      <c r="H673" s="2" t="str" cm="1">
        <f t="array" ref="H673">_xlfn.XLOOKUP(C673,customers!$A$1:$A$1001,customers!$G$1:$G$1001,customers!A672:H1645)</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7">
        <f t="shared" si="30"/>
        <v>59.75</v>
      </c>
      <c r="N673" t="str">
        <f t="shared" si="31"/>
        <v>Robusta</v>
      </c>
      <c r="O673" t="str">
        <f t="shared" si="32"/>
        <v>Large</v>
      </c>
      <c r="P673" t="str">
        <f>_xlfn.XLOOKUP(C673,customers!$A$1:$A$1001,customers!$I$1:$I$1001,0)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IF(_xlfn.XLOOKUP(C674,customers!$A$1:$A$1001,customers!$C$1:$C$1001,)=0,"",_xlfn.XLOOKUP(C674,customers!$A$1:$A$1001,customers!$C$1:$C$1001,))</f>
        <v>limasonio@discuz.net</v>
      </c>
      <c r="H674" s="2" t="str" cm="1">
        <f t="array" ref="H674">_xlfn.XLOOKUP(C674,customers!$A$1:$A$1001,customers!$G$1:$G$1001,customers!A673:H1646)</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7">
        <f t="shared" si="30"/>
        <v>43.650000000000006</v>
      </c>
      <c r="N674" t="str">
        <f t="shared" si="31"/>
        <v>Librica</v>
      </c>
      <c r="O674" t="str">
        <f t="shared" si="32"/>
        <v>Medium</v>
      </c>
      <c r="P674" t="str">
        <f>_xlfn.XLOOKUP(C674,customers!$A$1:$A$1001,customers!$I$1:$I$1001,0)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IF(_xlfn.XLOOKUP(C675,customers!$A$1:$A$1001,customers!$C$1:$C$1001,)=0,"",_xlfn.XLOOKUP(C675,customers!$A$1:$A$1001,customers!$C$1:$C$1001,))</f>
        <v>hsaillip@odnoklassniki.ru</v>
      </c>
      <c r="H675" s="2" t="str" cm="1">
        <f t="array" ref="H675">_xlfn.XLOOKUP(C675,customers!$A$1:$A$1001,customers!$G$1:$G$1001,customers!A674:H1647)</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7">
        <f t="shared" si="30"/>
        <v>82.5</v>
      </c>
      <c r="N675" t="str">
        <f t="shared" si="31"/>
        <v>Excelsa</v>
      </c>
      <c r="O675" t="str">
        <f t="shared" si="32"/>
        <v>Medium</v>
      </c>
      <c r="P675" t="str">
        <f>_xlfn.XLOOKUP(C675,customers!$A$1:$A$1001,customers!$I$1:$I$1001,0)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IF(_xlfn.XLOOKUP(C676,customers!$A$1:$A$1001,customers!$C$1:$C$1001,)=0,"",_xlfn.XLOOKUP(C676,customers!$A$1:$A$1001,customers!$C$1:$C$1001,))</f>
        <v>hlarvoriq@last.fm</v>
      </c>
      <c r="H676" s="2" t="str" cm="1">
        <f t="array" ref="H676">_xlfn.XLOOKUP(C676,customers!$A$1:$A$1001,customers!$G$1:$G$1001,customers!A675:H1648)</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7">
        <f t="shared" si="30"/>
        <v>178.70999999999998</v>
      </c>
      <c r="N676" t="str">
        <f t="shared" si="31"/>
        <v>Arabic</v>
      </c>
      <c r="O676" t="str">
        <f t="shared" si="32"/>
        <v>Large</v>
      </c>
      <c r="P676" t="str">
        <f>_xlfn.XLOOKUP(C676,customers!$A$1:$A$1001,customers!$I$1:$I$1001,0)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IF(_xlfn.XLOOKUP(C677,customers!$A$1:$A$1001,customers!$C$1:$C$1001,)=0,"",_xlfn.XLOOKUP(C677,customers!$A$1:$A$1001,customers!$C$1:$C$1001,))</f>
        <v/>
      </c>
      <c r="H677" s="2" t="str" cm="1">
        <f t="array" ref="H677">_xlfn.XLOOKUP(C677,customers!$A$1:$A$1001,customers!$G$1:$G$1001,customers!A676:H1649)</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7">
        <f t="shared" si="30"/>
        <v>119.13999999999999</v>
      </c>
      <c r="N677" t="str">
        <f t="shared" si="31"/>
        <v>Librica</v>
      </c>
      <c r="O677" t="str">
        <f t="shared" si="32"/>
        <v>Dark</v>
      </c>
      <c r="P677" t="str">
        <f>_xlfn.XLOOKUP(C677,customers!$A$1:$A$1001,customers!$I$1:$I$1001,0)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IF(_xlfn.XLOOKUP(C678,customers!$A$1:$A$1001,customers!$C$1:$C$1001,)=0,"",_xlfn.XLOOKUP(C678,customers!$A$1:$A$1001,customers!$C$1:$C$1001,))</f>
        <v/>
      </c>
      <c r="H678" s="2" t="str" cm="1">
        <f t="array" ref="H678">_xlfn.XLOOKUP(C678,customers!$A$1:$A$1001,customers!$G$1:$G$1001,customers!A677:H1650)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7">
        <f t="shared" si="30"/>
        <v>47.55</v>
      </c>
      <c r="N678" t="str">
        <f t="shared" si="31"/>
        <v>Librica</v>
      </c>
      <c r="O678" t="str">
        <f t="shared" si="32"/>
        <v>Large</v>
      </c>
      <c r="P678" t="str">
        <f>_xlfn.XLOOKUP(C678,customers!$A$1:$A$1001,customers!$I$1:$I$1001,0)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IF(_xlfn.XLOOKUP(C679,customers!$A$1:$A$1001,customers!$C$1:$C$1001,)=0,"",_xlfn.XLOOKUP(C679,customers!$A$1:$A$1001,customers!$C$1:$C$1001,))</f>
        <v>cpenwardenit@mlb.com</v>
      </c>
      <c r="H679" s="2" t="str" cm="1">
        <f t="array" ref="H679">_xlfn.XLOOKUP(C679,customers!$A$1:$A$1001,customers!$G$1:$G$1001,customers!A678:H1651)</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7">
        <f t="shared" si="30"/>
        <v>43.650000000000006</v>
      </c>
      <c r="N679" t="str">
        <f t="shared" si="31"/>
        <v>Librica</v>
      </c>
      <c r="O679" t="str">
        <f t="shared" si="32"/>
        <v>Medium</v>
      </c>
      <c r="P679" t="str">
        <f>_xlfn.XLOOKUP(C679,customers!$A$1:$A$1001,customers!$I$1:$I$1001,0)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IF(_xlfn.XLOOKUP(C680,customers!$A$1:$A$1001,customers!$C$1:$C$1001,)=0,"",_xlfn.XLOOKUP(C680,customers!$A$1:$A$1001,customers!$C$1:$C$1001,))</f>
        <v>mmiddisiu@dmoz.org</v>
      </c>
      <c r="H680" s="2" t="str" cm="1">
        <f t="array" ref="H680">_xlfn.XLOOKUP(C680,customers!$A$1:$A$1001,customers!$G$1:$G$1001,customers!A679:H1652)</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7">
        <f t="shared" si="30"/>
        <v>178.70999999999998</v>
      </c>
      <c r="N680" t="str">
        <f t="shared" si="31"/>
        <v>Arabic</v>
      </c>
      <c r="O680" t="str">
        <f t="shared" si="32"/>
        <v>Large</v>
      </c>
      <c r="P680" t="str">
        <f>_xlfn.XLOOKUP(C680,customers!$A$1:$A$1001,customers!$I$1:$I$1001,0)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IF(_xlfn.XLOOKUP(C681,customers!$A$1:$A$1001,customers!$C$1:$C$1001,)=0,"",_xlfn.XLOOKUP(C681,customers!$A$1:$A$1001,customers!$C$1:$C$1001,))</f>
        <v>avairowiv@studiopress.com</v>
      </c>
      <c r="H681" s="2" t="str" cm="1">
        <f t="array" ref="H681">_xlfn.XLOOKUP(C681,customers!$A$1:$A$1001,customers!$G$1:$G$1001,customers!A680:H1653)</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7">
        <f t="shared" si="30"/>
        <v>27.484999999999996</v>
      </c>
      <c r="N681" t="str">
        <f t="shared" si="31"/>
        <v>Robusta</v>
      </c>
      <c r="O681" t="str">
        <f t="shared" si="32"/>
        <v>Large</v>
      </c>
      <c r="P681" t="str">
        <f>_xlfn.XLOOKUP(C681,customers!$A$1:$A$1001,customers!$I$1:$I$1001,0)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IF(_xlfn.XLOOKUP(C682,customers!$A$1:$A$1001,customers!$C$1:$C$1001,)=0,"",_xlfn.XLOOKUP(C682,customers!$A$1:$A$1001,customers!$C$1:$C$1001,))</f>
        <v>agoldieiw@goo.gl</v>
      </c>
      <c r="H682" s="2" t="str" cm="1">
        <f t="array" ref="H682">_xlfn.XLOOKUP(C682,customers!$A$1:$A$1001,customers!$G$1:$G$1001,customers!A681:H1654)</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7">
        <f t="shared" si="30"/>
        <v>56.25</v>
      </c>
      <c r="N682" t="str">
        <f t="shared" si="31"/>
        <v>Arabic</v>
      </c>
      <c r="O682" t="str">
        <f t="shared" si="32"/>
        <v>Medium</v>
      </c>
      <c r="P682" t="str">
        <f>_xlfn.XLOOKUP(C682,customers!$A$1:$A$1001,customers!$I$1:$I$1001,0)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IF(_xlfn.XLOOKUP(C683,customers!$A$1:$A$1001,customers!$C$1:$C$1001,)=0,"",_xlfn.XLOOKUP(C683,customers!$A$1:$A$1001,customers!$C$1:$C$1001,))</f>
        <v>nayrisix@t-online.de</v>
      </c>
      <c r="H683" s="2" t="str" cm="1">
        <f t="array" ref="H683">_xlfn.XLOOKUP(C683,customers!$A$1:$A$1001,customers!$G$1:$G$1001,customers!A682:H1655)</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7">
        <f t="shared" si="30"/>
        <v>9.51</v>
      </c>
      <c r="N683" t="str">
        <f t="shared" si="31"/>
        <v>Librica</v>
      </c>
      <c r="O683" t="str">
        <f t="shared" si="32"/>
        <v>Large</v>
      </c>
      <c r="P683" t="str">
        <f>_xlfn.XLOOKUP(C683,customers!$A$1:$A$1001,customers!$I$1:$I$1001,0)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IF(_xlfn.XLOOKUP(C684,customers!$A$1:$A$1001,customers!$C$1:$C$1001,)=0,"",_xlfn.XLOOKUP(C684,customers!$A$1:$A$1001,customers!$C$1:$C$1001,))</f>
        <v>lbenediktovichiy@wunderground.com</v>
      </c>
      <c r="H684" s="2" t="str" cm="1">
        <f t="array" ref="H684">_xlfn.XLOOKUP(C684,customers!$A$1:$A$1001,customers!$G$1:$G$1001,customers!A683:H1656)</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7">
        <f t="shared" si="30"/>
        <v>8.25</v>
      </c>
      <c r="N684" t="str">
        <f t="shared" si="31"/>
        <v>Excelsa</v>
      </c>
      <c r="O684" t="str">
        <f t="shared" si="32"/>
        <v>Medium</v>
      </c>
      <c r="P684" t="str">
        <f>_xlfn.XLOOKUP(C684,customers!$A$1:$A$1001,customers!$I$1:$I$1001,0)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IF(_xlfn.XLOOKUP(C685,customers!$A$1:$A$1001,customers!$C$1:$C$1001,)=0,"",_xlfn.XLOOKUP(C685,customers!$A$1:$A$1001,customers!$C$1:$C$1001,))</f>
        <v>tjacobovitziz@cbc.ca</v>
      </c>
      <c r="H685" s="2" t="str" cm="1">
        <f t="array" ref="H685">_xlfn.XLOOKUP(C685,customers!$A$1:$A$1001,customers!$G$1:$G$1001,customers!A684:H1657)</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7">
        <f t="shared" si="30"/>
        <v>46.62</v>
      </c>
      <c r="N685" t="str">
        <f t="shared" si="31"/>
        <v>Librica</v>
      </c>
      <c r="O685" t="str">
        <f t="shared" si="32"/>
        <v>Dark</v>
      </c>
      <c r="P685" t="str">
        <f>_xlfn.XLOOKUP(C685,customers!$A$1:$A$1001,customers!$I$1:$I$1001,0)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IF(_xlfn.XLOOKUP(C686,customers!$A$1:$A$1001,customers!$C$1:$C$1001,)=0,"",_xlfn.XLOOKUP(C686,customers!$A$1:$A$1001,customers!$C$1:$C$1001,))</f>
        <v/>
      </c>
      <c r="H686" s="2" t="str" cm="1">
        <f t="array" ref="H686">_xlfn.XLOOKUP(C686,customers!$A$1:$A$1001,customers!$G$1:$G$1001,customers!A685:H1658)</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7">
        <f t="shared" si="30"/>
        <v>71.699999999999989</v>
      </c>
      <c r="N686" t="str">
        <f t="shared" si="31"/>
        <v>Robusta</v>
      </c>
      <c r="O686" t="str">
        <f t="shared" si="32"/>
        <v>Large</v>
      </c>
      <c r="P686" t="str">
        <f>_xlfn.XLOOKUP(C686,customers!$A$1:$A$1001,customers!$I$1:$I$1001,0)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IF(_xlfn.XLOOKUP(C687,customers!$A$1:$A$1001,customers!$C$1:$C$1001,)=0,"",_xlfn.XLOOKUP(C687,customers!$A$1:$A$1001,customers!$C$1:$C$1001,))</f>
        <v>jdruittj1@feedburner.com</v>
      </c>
      <c r="H687" s="2" t="str" cm="1">
        <f t="array" ref="H687">_xlfn.XLOOKUP(C687,customers!$A$1:$A$1001,customers!$G$1:$G$1001,customers!A686:H1659)</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7">
        <f t="shared" si="30"/>
        <v>72.91</v>
      </c>
      <c r="N687" t="str">
        <f t="shared" si="31"/>
        <v>Librica</v>
      </c>
      <c r="O687" t="str">
        <f t="shared" si="32"/>
        <v>Large</v>
      </c>
      <c r="P687" t="str">
        <f>_xlfn.XLOOKUP(C687,customers!$A$1:$A$1001,customers!$I$1:$I$1001,0)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IF(_xlfn.XLOOKUP(C688,customers!$A$1:$A$1001,customers!$C$1:$C$1001,)=0,"",_xlfn.XLOOKUP(C688,customers!$A$1:$A$1001,customers!$C$1:$C$1001,))</f>
        <v>dshortallj2@wikipedia.org</v>
      </c>
      <c r="H688" s="2" t="str" cm="1">
        <f t="array" ref="H688">_xlfn.XLOOKUP(C688,customers!$A$1:$A$1001,customers!$G$1:$G$1001,customers!A687:H1660)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7">
        <f t="shared" si="30"/>
        <v>8.0549999999999997</v>
      </c>
      <c r="N688" t="str">
        <f t="shared" si="31"/>
        <v>Robusta</v>
      </c>
      <c r="O688" t="str">
        <f t="shared" si="32"/>
        <v>Dark</v>
      </c>
      <c r="P688" t="str">
        <f>_xlfn.XLOOKUP(C688,customers!$A$1:$A$1001,customers!$I$1:$I$1001,0)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IF(_xlfn.XLOOKUP(C689,customers!$A$1:$A$1001,customers!$C$1:$C$1001,)=0,"",_xlfn.XLOOKUP(C689,customers!$A$1:$A$1001,customers!$C$1:$C$1001,))</f>
        <v>wcottierj3@cafepress.com</v>
      </c>
      <c r="H689" s="2" t="str" cm="1">
        <f t="array" ref="H689">_xlfn.XLOOKUP(C689,customers!$A$1:$A$1001,customers!$G$1:$G$1001,customers!A688:H1661)</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7">
        <f t="shared" si="30"/>
        <v>16.5</v>
      </c>
      <c r="N689" t="str">
        <f t="shared" si="31"/>
        <v>Excelsa</v>
      </c>
      <c r="O689" t="str">
        <f t="shared" si="32"/>
        <v>Medium</v>
      </c>
      <c r="P689" t="str">
        <f>_xlfn.XLOOKUP(C689,customers!$A$1:$A$1001,customers!$I$1:$I$1001,0)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IF(_xlfn.XLOOKUP(C690,customers!$A$1:$A$1001,customers!$C$1:$C$1001,)=0,"",_xlfn.XLOOKUP(C690,customers!$A$1:$A$1001,customers!$C$1:$C$1001,))</f>
        <v>kgrinstedj4@google.com.br</v>
      </c>
      <c r="H690" s="2" t="str" cm="1">
        <f t="array" ref="H690">_xlfn.XLOOKUP(C690,customers!$A$1:$A$1001,customers!$G$1:$G$1001,customers!A689:H1662)</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7">
        <f t="shared" si="30"/>
        <v>64.75</v>
      </c>
      <c r="N690" t="str">
        <f t="shared" si="31"/>
        <v>Arabic</v>
      </c>
      <c r="O690" t="str">
        <f t="shared" si="32"/>
        <v>Large</v>
      </c>
      <c r="P690" t="str">
        <f>_xlfn.XLOOKUP(C690,customers!$A$1:$A$1001,customers!$I$1:$I$1001,0)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IF(_xlfn.XLOOKUP(C691,customers!$A$1:$A$1001,customers!$C$1:$C$1001,)=0,"",_xlfn.XLOOKUP(C691,customers!$A$1:$A$1001,customers!$C$1:$C$1001,))</f>
        <v>dskynerj5@hubpages.com</v>
      </c>
      <c r="H691" s="2" t="str" cm="1">
        <f t="array" ref="H691">_xlfn.XLOOKUP(C691,customers!$A$1:$A$1001,customers!$G$1:$G$1001,customers!A690:H1663)</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7">
        <f t="shared" si="30"/>
        <v>33.75</v>
      </c>
      <c r="N691" t="str">
        <f t="shared" si="31"/>
        <v>Arabic</v>
      </c>
      <c r="O691" t="str">
        <f t="shared" si="32"/>
        <v>Medium</v>
      </c>
      <c r="P691" t="str">
        <f>_xlfn.XLOOKUP(C691,customers!$A$1:$A$1001,customers!$I$1:$I$1001,0)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IF(_xlfn.XLOOKUP(C692,customers!$A$1:$A$1001,customers!$C$1:$C$1001,)=0,"",_xlfn.XLOOKUP(C692,customers!$A$1:$A$1001,customers!$C$1:$C$1001,))</f>
        <v/>
      </c>
      <c r="H692" s="2" t="str" cm="1">
        <f t="array" ref="H692">_xlfn.XLOOKUP(C692,customers!$A$1:$A$1001,customers!$G$1:$G$1001,customers!A691:H1664)</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7">
        <f t="shared" si="30"/>
        <v>178.70999999999998</v>
      </c>
      <c r="N692" t="str">
        <f t="shared" si="31"/>
        <v>Librica</v>
      </c>
      <c r="O692" t="str">
        <f t="shared" si="32"/>
        <v>Dark</v>
      </c>
      <c r="P692" t="str">
        <f>_xlfn.XLOOKUP(C692,customers!$A$1:$A$1001,customers!$I$1:$I$1001,0)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IF(_xlfn.XLOOKUP(C693,customers!$A$1:$A$1001,customers!$C$1:$C$1001,)=0,"",_xlfn.XLOOKUP(C693,customers!$A$1:$A$1001,customers!$C$1:$C$1001,))</f>
        <v>jdymokeje@prnewswire.com</v>
      </c>
      <c r="H693" s="2" t="str" cm="1">
        <f t="array" ref="H693">_xlfn.XLOOKUP(C693,customers!$A$1:$A$1001,customers!$G$1:$G$1001,customers!A692:H1665)</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7">
        <f t="shared" si="30"/>
        <v>22.5</v>
      </c>
      <c r="N693" t="str">
        <f t="shared" si="31"/>
        <v>Arabic</v>
      </c>
      <c r="O693" t="str">
        <f t="shared" si="32"/>
        <v>Medium</v>
      </c>
      <c r="P693" t="str">
        <f>_xlfn.XLOOKUP(C693,customers!$A$1:$A$1001,customers!$I$1:$I$1001,0)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IF(_xlfn.XLOOKUP(C694,customers!$A$1:$A$1001,customers!$C$1:$C$1001,)=0,"",_xlfn.XLOOKUP(C694,customers!$A$1:$A$1001,customers!$C$1:$C$1001,))</f>
        <v>aweinmannj8@shinystat.com</v>
      </c>
      <c r="H694" s="2" t="str" cm="1">
        <f t="array" ref="H694">_xlfn.XLOOKUP(C694,customers!$A$1:$A$1001,customers!$G$1:$G$1001,customers!A693:H1666)</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7">
        <f t="shared" si="30"/>
        <v>12.95</v>
      </c>
      <c r="N694" t="str">
        <f t="shared" si="31"/>
        <v>Librica</v>
      </c>
      <c r="O694" t="str">
        <f t="shared" si="32"/>
        <v>Dark</v>
      </c>
      <c r="P694" t="str">
        <f>_xlfn.XLOOKUP(C694,customers!$A$1:$A$1001,customers!$I$1:$I$1001,0)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IF(_xlfn.XLOOKUP(C695,customers!$A$1:$A$1001,customers!$C$1:$C$1001,)=0,"",_xlfn.XLOOKUP(C695,customers!$A$1:$A$1001,customers!$C$1:$C$1001,))</f>
        <v>eandriessenj9@europa.eu</v>
      </c>
      <c r="H695" s="2" t="str" cm="1">
        <f t="array" ref="H695">_xlfn.XLOOKUP(C695,customers!$A$1:$A$1001,customers!$G$1:$G$1001,customers!A694:H1667)</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7">
        <f t="shared" si="30"/>
        <v>51.749999999999993</v>
      </c>
      <c r="N695" t="str">
        <f t="shared" si="31"/>
        <v>Arabic</v>
      </c>
      <c r="O695" t="str">
        <f t="shared" si="32"/>
        <v>Medium</v>
      </c>
      <c r="P695" t="str">
        <f>_xlfn.XLOOKUP(C695,customers!$A$1:$A$1001,customers!$I$1:$I$1001,0)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IF(_xlfn.XLOOKUP(C696,customers!$A$1:$A$1001,customers!$C$1:$C$1001,)=0,"",_xlfn.XLOOKUP(C696,customers!$A$1:$A$1001,customers!$C$1:$C$1001,))</f>
        <v>rdeaconsonja@archive.org</v>
      </c>
      <c r="H696" s="2" t="str" cm="1">
        <f t="array" ref="H696">_xlfn.XLOOKUP(C696,customers!$A$1:$A$1001,customers!$G$1:$G$1001,customers!A695:H1668)</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7">
        <f t="shared" si="30"/>
        <v>36.450000000000003</v>
      </c>
      <c r="N696" t="str">
        <f t="shared" si="31"/>
        <v>Excelsa</v>
      </c>
      <c r="O696" t="str">
        <f t="shared" si="32"/>
        <v>Dark</v>
      </c>
      <c r="P696" t="str">
        <f>_xlfn.XLOOKUP(C696,customers!$A$1:$A$1001,customers!$I$1:$I$1001,0)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IF(_xlfn.XLOOKUP(C697,customers!$A$1:$A$1001,customers!$C$1:$C$1001,)=0,"",_xlfn.XLOOKUP(C697,customers!$A$1:$A$1001,customers!$C$1:$C$1001,))</f>
        <v>dcarojb@twitter.com</v>
      </c>
      <c r="H697" s="2" t="str" cm="1">
        <f t="array" ref="H697">_xlfn.XLOOKUP(C697,customers!$A$1:$A$1001,customers!$G$1:$G$1001,customers!A696:H1669)</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7">
        <f t="shared" si="30"/>
        <v>182.27499999999998</v>
      </c>
      <c r="N697" t="str">
        <f t="shared" si="31"/>
        <v>Librica</v>
      </c>
      <c r="O697" t="str">
        <f t="shared" si="32"/>
        <v>Large</v>
      </c>
      <c r="P697" t="str">
        <f>_xlfn.XLOOKUP(C697,customers!$A$1:$A$1001,customers!$I$1:$I$1001,0)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IF(_xlfn.XLOOKUP(C698,customers!$A$1:$A$1001,customers!$C$1:$C$1001,)=0,"",_xlfn.XLOOKUP(C698,customers!$A$1:$A$1001,customers!$C$1:$C$1001,))</f>
        <v>jbluckjc@imageshack.us</v>
      </c>
      <c r="H698" s="2" t="str" cm="1">
        <f t="array" ref="H698">_xlfn.XLOOKUP(C698,customers!$A$1:$A$1001,customers!$G$1:$G$1001,customers!A697:H1670)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7">
        <f t="shared" si="30"/>
        <v>31.08</v>
      </c>
      <c r="N698" t="str">
        <f t="shared" si="31"/>
        <v>Librica</v>
      </c>
      <c r="O698" t="str">
        <f t="shared" si="32"/>
        <v>Dark</v>
      </c>
      <c r="P698" t="str">
        <f>_xlfn.XLOOKUP(C698,customers!$A$1:$A$1001,customers!$I$1:$I$1001,0)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IF(_xlfn.XLOOKUP(C699,customers!$A$1:$A$1001,customers!$C$1:$C$1001,)=0,"",_xlfn.XLOOKUP(C699,customers!$A$1:$A$1001,customers!$C$1:$C$1001,))</f>
        <v/>
      </c>
      <c r="H699" s="2" t="str" cm="1">
        <f t="array" ref="H699">_xlfn.XLOOKUP(C699,customers!$A$1:$A$1001,customers!$G$1:$G$1001,customers!A698:H1671)</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7">
        <f t="shared" si="30"/>
        <v>20.25</v>
      </c>
      <c r="N699" t="str">
        <f t="shared" si="31"/>
        <v>Arabic</v>
      </c>
      <c r="O699" t="str">
        <f t="shared" si="32"/>
        <v>Medium</v>
      </c>
      <c r="P699" t="str">
        <f>_xlfn.XLOOKUP(C699,customers!$A$1:$A$1001,customers!$I$1:$I$1001,0)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IF(_xlfn.XLOOKUP(C700,customers!$A$1:$A$1001,customers!$C$1:$C$1001,)=0,"",_xlfn.XLOOKUP(C700,customers!$A$1:$A$1001,customers!$C$1:$C$1001,))</f>
        <v>jdymokeje@prnewswire.com</v>
      </c>
      <c r="H700" s="2" t="str" cm="1">
        <f t="array" ref="H700">_xlfn.XLOOKUP(C700,customers!$A$1:$A$1001,customers!$G$1:$G$1001,customers!A699:H1672)</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7">
        <f t="shared" si="30"/>
        <v>25.9</v>
      </c>
      <c r="N700" t="str">
        <f t="shared" si="31"/>
        <v>Librica</v>
      </c>
      <c r="O700" t="str">
        <f t="shared" si="32"/>
        <v>Dark</v>
      </c>
      <c r="P700" t="str">
        <f>_xlfn.XLOOKUP(C700,customers!$A$1:$A$1001,customers!$I$1:$I$1001,0)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IF(_xlfn.XLOOKUP(C701,customers!$A$1:$A$1001,customers!$C$1:$C$1001,)=0,"",_xlfn.XLOOKUP(C701,customers!$A$1:$A$1001,customers!$C$1:$C$1001,))</f>
        <v>otadmanjf@ft.com</v>
      </c>
      <c r="H701" s="2" t="str" cm="1">
        <f t="array" ref="H701">_xlfn.XLOOKUP(C701,customers!$A$1:$A$1001,customers!$G$1:$G$1001,customers!A700:H1673)</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7">
        <f t="shared" si="30"/>
        <v>23.88</v>
      </c>
      <c r="N701" t="str">
        <f t="shared" si="31"/>
        <v>Arabic</v>
      </c>
      <c r="O701" t="str">
        <f t="shared" si="32"/>
        <v>Dark</v>
      </c>
      <c r="P701" t="str">
        <f>_xlfn.XLOOKUP(C701,customers!$A$1:$A$1001,customers!$I$1:$I$1001,0)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IF(_xlfn.XLOOKUP(C702,customers!$A$1:$A$1001,customers!$C$1:$C$1001,)=0,"",_xlfn.XLOOKUP(C702,customers!$A$1:$A$1001,customers!$C$1:$C$1001,))</f>
        <v>bguddejg@dailymotion.com</v>
      </c>
      <c r="H702" s="2" t="str" cm="1">
        <f t="array" ref="H702">_xlfn.XLOOKUP(C702,customers!$A$1:$A$1001,customers!$G$1:$G$1001,customers!A701:H1674)</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7">
        <f t="shared" si="30"/>
        <v>19.02</v>
      </c>
      <c r="N702" t="str">
        <f t="shared" si="31"/>
        <v>Librica</v>
      </c>
      <c r="O702" t="str">
        <f t="shared" si="32"/>
        <v>Large</v>
      </c>
      <c r="P702" t="str">
        <f>_xlfn.XLOOKUP(C702,customers!$A$1:$A$1001,customers!$I$1:$I$1001,0)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IF(_xlfn.XLOOKUP(C703,customers!$A$1:$A$1001,customers!$C$1:$C$1001,)=0,"",_xlfn.XLOOKUP(C703,customers!$A$1:$A$1001,customers!$C$1:$C$1001,))</f>
        <v>nsictornesjh@buzzfeed.com</v>
      </c>
      <c r="H703" s="2" t="str" cm="1">
        <f t="array" ref="H703">_xlfn.XLOOKUP(C703,customers!$A$1:$A$1001,customers!$G$1:$G$1001,customers!A702:H1675)</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7">
        <f t="shared" si="30"/>
        <v>29.849999999999998</v>
      </c>
      <c r="N703" t="str">
        <f t="shared" si="31"/>
        <v>Arabic</v>
      </c>
      <c r="O703" t="str">
        <f t="shared" si="32"/>
        <v>Dark</v>
      </c>
      <c r="P703" t="str">
        <f>_xlfn.XLOOKUP(C703,customers!$A$1:$A$1001,customers!$I$1:$I$1001,0)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IF(_xlfn.XLOOKUP(C704,customers!$A$1:$A$1001,customers!$C$1:$C$1001,)=0,"",_xlfn.XLOOKUP(C704,customers!$A$1:$A$1001,customers!$C$1:$C$1001,))</f>
        <v>vdunningji@independent.co.uk</v>
      </c>
      <c r="H704" s="2" t="str" cm="1">
        <f t="array" ref="H704">_xlfn.XLOOKUP(C704,customers!$A$1:$A$1001,customers!$G$1:$G$1001,customers!A703:H1676)</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7">
        <f t="shared" si="30"/>
        <v>7.77</v>
      </c>
      <c r="N704" t="str">
        <f t="shared" si="31"/>
        <v>Arabic</v>
      </c>
      <c r="O704" t="str">
        <f t="shared" si="32"/>
        <v>Large</v>
      </c>
      <c r="P704" t="str">
        <f>_xlfn.XLOOKUP(C704,customers!$A$1:$A$1001,customers!$I$1:$I$1001,0)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IF(_xlfn.XLOOKUP(C705,customers!$A$1:$A$1001,customers!$C$1:$C$1001,)=0,"",_xlfn.XLOOKUP(C705,customers!$A$1:$A$1001,customers!$C$1:$C$1001,))</f>
        <v/>
      </c>
      <c r="H705" s="2" t="str" cm="1">
        <f t="array" ref="H705">_xlfn.XLOOKUP(C705,customers!$A$1:$A$1001,customers!$G$1:$G$1001,customers!A704:H1677)</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7">
        <f t="shared" si="30"/>
        <v>119.13999999999999</v>
      </c>
      <c r="N705" t="str">
        <f t="shared" si="31"/>
        <v>Librica</v>
      </c>
      <c r="O705" t="str">
        <f t="shared" si="32"/>
        <v>Dark</v>
      </c>
      <c r="P705" t="str">
        <f>_xlfn.XLOOKUP(C705,customers!$A$1:$A$1001,customers!$I$1:$I$1001,0)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IF(_xlfn.XLOOKUP(C706,customers!$A$1:$A$1001,customers!$C$1:$C$1001,)=0,"",_xlfn.XLOOKUP(C706,customers!$A$1:$A$1001,customers!$C$1:$C$1001,))</f>
        <v/>
      </c>
      <c r="H706" s="2" t="str" cm="1">
        <f t="array" ref="H706">_xlfn.XLOOKUP(C706,customers!$A$1:$A$1001,customers!$G$1:$G$1001,customers!A705:H1678)</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7">
        <f t="shared" si="30"/>
        <v>21.87</v>
      </c>
      <c r="N706" t="str">
        <f t="shared" si="31"/>
        <v>Excelsa</v>
      </c>
      <c r="O706" t="str">
        <f t="shared" si="32"/>
        <v>Dark</v>
      </c>
      <c r="P706" t="str">
        <f>_xlfn.XLOOKUP(C706,customers!$A$1:$A$1001,customers!$I$1:$I$1001,0)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IF(_xlfn.XLOOKUP(C707,customers!$A$1:$A$1001,customers!$C$1:$C$1001,)=0,"",_xlfn.XLOOKUP(C707,customers!$A$1:$A$1001,customers!$C$1:$C$1001,))</f>
        <v>sgehringjl@gnu.org</v>
      </c>
      <c r="H707" s="2" t="str" cm="1">
        <f t="array" ref="H707">_xlfn.XLOOKUP(C707,customers!$A$1:$A$1001,customers!$G$1:$G$1001,customers!A706:H1679)</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7">
        <f t="shared" ref="M707:M770" si="33">L707*E707</f>
        <v>17.82</v>
      </c>
      <c r="N707" t="str">
        <f t="shared" ref="N707:N770" si="34">IF(I707="Rob","Robusta",IF(I707="Exc","Excelsa",IF(I707="Ara","Arabic",IF(I707="Lib","Librica"))))</f>
        <v>Excelsa</v>
      </c>
      <c r="O707" t="str">
        <f t="shared" ref="O707:O770" si="35">IF(J707="M","Medium",IF(J707="L","Large",IF(J707="D","Dark")))</f>
        <v>Large</v>
      </c>
      <c r="P707" t="str">
        <f>_xlfn.XLOOKUP(C707,customers!$A$1:$A$1001,customers!$I$1:$I$1001,0)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IF(_xlfn.XLOOKUP(C708,customers!$A$1:$A$1001,customers!$C$1:$C$1001,)=0,"",_xlfn.XLOOKUP(C708,customers!$A$1:$A$1001,customers!$C$1:$C$1001,))</f>
        <v>bfallowesjm@purevolume.com</v>
      </c>
      <c r="H708" s="2" t="str" cm="1">
        <f t="array" ref="H708">_xlfn.XLOOKUP(C708,customers!$A$1:$A$1001,customers!$G$1:$G$1001,customers!A707:H1680)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7">
        <f t="shared" si="33"/>
        <v>12.375</v>
      </c>
      <c r="N708" t="str">
        <f t="shared" si="34"/>
        <v>Excelsa</v>
      </c>
      <c r="O708" t="str">
        <f t="shared" si="35"/>
        <v>Medium</v>
      </c>
      <c r="P708" t="str">
        <f>_xlfn.XLOOKUP(C708,customers!$A$1:$A$1001,customers!$I$1:$I$1001,0)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IF(_xlfn.XLOOKUP(C709,customers!$A$1:$A$1001,customers!$C$1:$C$1001,)=0,"",_xlfn.XLOOKUP(C709,customers!$A$1:$A$1001,customers!$C$1:$C$1001,))</f>
        <v/>
      </c>
      <c r="H709" s="2" t="str" cm="1">
        <f t="array" ref="H709">_xlfn.XLOOKUP(C709,customers!$A$1:$A$1001,customers!$G$1:$G$1001,customers!A708:H1681)</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7">
        <f t="shared" si="33"/>
        <v>25.9</v>
      </c>
      <c r="N709" t="str">
        <f t="shared" si="34"/>
        <v>Librica</v>
      </c>
      <c r="O709" t="str">
        <f t="shared" si="35"/>
        <v>Dark</v>
      </c>
      <c r="P709" t="str">
        <f>_xlfn.XLOOKUP(C709,customers!$A$1:$A$1001,customers!$I$1:$I$1001,0)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IF(_xlfn.XLOOKUP(C710,customers!$A$1:$A$1001,customers!$C$1:$C$1001,)=0,"",_xlfn.XLOOKUP(C710,customers!$A$1:$A$1001,customers!$C$1:$C$1001,))</f>
        <v>sdejo@newsvine.com</v>
      </c>
      <c r="H710" s="2" t="str" cm="1">
        <f t="array" ref="H710">_xlfn.XLOOKUP(C710,customers!$A$1:$A$1001,customers!$G$1:$G$1001,customers!A709:H1682)</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7">
        <f t="shared" si="33"/>
        <v>13.5</v>
      </c>
      <c r="N710" t="str">
        <f t="shared" si="34"/>
        <v>Arabic</v>
      </c>
      <c r="O710" t="str">
        <f t="shared" si="35"/>
        <v>Medium</v>
      </c>
      <c r="P710" t="str">
        <f>_xlfn.XLOOKUP(C710,customers!$A$1:$A$1001,customers!$I$1:$I$1001,0)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IF(_xlfn.XLOOKUP(C711,customers!$A$1:$A$1001,customers!$C$1:$C$1001,)=0,"",_xlfn.XLOOKUP(C711,customers!$A$1:$A$1001,customers!$C$1:$C$1001,))</f>
        <v/>
      </c>
      <c r="H711" s="2" t="str" cm="1">
        <f t="array" ref="H711">_xlfn.XLOOKUP(C711,customers!$A$1:$A$1001,customers!$G$1:$G$1001,customers!A710:H1683)</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7">
        <f t="shared" si="33"/>
        <v>17.82</v>
      </c>
      <c r="N711" t="str">
        <f t="shared" si="34"/>
        <v>Excelsa</v>
      </c>
      <c r="O711" t="str">
        <f t="shared" si="35"/>
        <v>Large</v>
      </c>
      <c r="P711" t="str">
        <f>_xlfn.XLOOKUP(C711,customers!$A$1:$A$1001,customers!$I$1:$I$1001,0)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IF(_xlfn.XLOOKUP(C712,customers!$A$1:$A$1001,customers!$C$1:$C$1001,)=0,"",_xlfn.XLOOKUP(C712,customers!$A$1:$A$1001,customers!$C$1:$C$1001,))</f>
        <v>scountjq@nba.com</v>
      </c>
      <c r="H712" s="2" t="str" cm="1">
        <f t="array" ref="H712">_xlfn.XLOOKUP(C712,customers!$A$1:$A$1001,customers!$G$1:$G$1001,customers!A711:H1684)</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7">
        <f t="shared" si="33"/>
        <v>24.75</v>
      </c>
      <c r="N712" t="str">
        <f t="shared" si="34"/>
        <v>Excelsa</v>
      </c>
      <c r="O712" t="str">
        <f t="shared" si="35"/>
        <v>Medium</v>
      </c>
      <c r="P712" t="str">
        <f>_xlfn.XLOOKUP(C712,customers!$A$1:$A$1001,customers!$I$1:$I$1001,0)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IF(_xlfn.XLOOKUP(C713,customers!$A$1:$A$1001,customers!$C$1:$C$1001,)=0,"",_xlfn.XLOOKUP(C713,customers!$A$1:$A$1001,customers!$C$1:$C$1001,))</f>
        <v>sraglesjr@blogtalkradio.com</v>
      </c>
      <c r="H713" s="2" t="str" cm="1">
        <f t="array" ref="H713">_xlfn.XLOOKUP(C713,customers!$A$1:$A$1001,customers!$G$1:$G$1001,customers!A712:H1685)</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7">
        <f t="shared" si="33"/>
        <v>17.91</v>
      </c>
      <c r="N713" t="str">
        <f t="shared" si="34"/>
        <v>Robusta</v>
      </c>
      <c r="O713" t="str">
        <f t="shared" si="35"/>
        <v>Medium</v>
      </c>
      <c r="P713" t="str">
        <f>_xlfn.XLOOKUP(C713,customers!$A$1:$A$1001,customers!$I$1:$I$1001,0)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IF(_xlfn.XLOOKUP(C714,customers!$A$1:$A$1001,customers!$C$1:$C$1001,)=0,"",_xlfn.XLOOKUP(C714,customers!$A$1:$A$1001,customers!$C$1:$C$1001,))</f>
        <v/>
      </c>
      <c r="H714" s="2" t="str" cm="1">
        <f t="array" ref="H714">_xlfn.XLOOKUP(C714,customers!$A$1:$A$1001,customers!$G$1:$G$1001,customers!A713:H1686)</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7">
        <f t="shared" si="33"/>
        <v>16.5</v>
      </c>
      <c r="N714" t="str">
        <f t="shared" si="34"/>
        <v>Excelsa</v>
      </c>
      <c r="O714" t="str">
        <f t="shared" si="35"/>
        <v>Medium</v>
      </c>
      <c r="P714" t="str">
        <f>_xlfn.XLOOKUP(C714,customers!$A$1:$A$1001,customers!$I$1:$I$1001,0)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IF(_xlfn.XLOOKUP(C715,customers!$A$1:$A$1001,customers!$C$1:$C$1001,)=0,"",_xlfn.XLOOKUP(C715,customers!$A$1:$A$1001,customers!$C$1:$C$1001,))</f>
        <v>sbruunjt@blogtalkradio.com</v>
      </c>
      <c r="H715" s="2" t="str" cm="1">
        <f t="array" ref="H715">_xlfn.XLOOKUP(C715,customers!$A$1:$A$1001,customers!$G$1:$G$1001,customers!A714:H1687)</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7">
        <f t="shared" si="33"/>
        <v>2.9849999999999999</v>
      </c>
      <c r="N715" t="str">
        <f t="shared" si="34"/>
        <v>Robusta</v>
      </c>
      <c r="O715" t="str">
        <f t="shared" si="35"/>
        <v>Medium</v>
      </c>
      <c r="P715" t="str">
        <f>_xlfn.XLOOKUP(C715,customers!$A$1:$A$1001,customers!$I$1:$I$1001,0)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IF(_xlfn.XLOOKUP(C716,customers!$A$1:$A$1001,customers!$C$1:$C$1001,)=0,"",_xlfn.XLOOKUP(C716,customers!$A$1:$A$1001,customers!$C$1:$C$1001,))</f>
        <v>aplluju@dagondesign.com</v>
      </c>
      <c r="H716" s="2" t="str" cm="1">
        <f t="array" ref="H716">_xlfn.XLOOKUP(C716,customers!$A$1:$A$1001,customers!$G$1:$G$1001,customers!A715:H1688)</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7">
        <f t="shared" si="33"/>
        <v>14.58</v>
      </c>
      <c r="N716" t="str">
        <f t="shared" si="34"/>
        <v>Excelsa</v>
      </c>
      <c r="O716" t="str">
        <f t="shared" si="35"/>
        <v>Dark</v>
      </c>
      <c r="P716" t="str">
        <f>_xlfn.XLOOKUP(C716,customers!$A$1:$A$1001,customers!$I$1:$I$1001,0)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IF(_xlfn.XLOOKUP(C717,customers!$A$1:$A$1001,customers!$C$1:$C$1001,)=0,"",_xlfn.XLOOKUP(C717,customers!$A$1:$A$1001,customers!$C$1:$C$1001,))</f>
        <v>gcornierjv@techcrunch.com</v>
      </c>
      <c r="H717" s="2" t="str" cm="1">
        <f t="array" ref="H717">_xlfn.XLOOKUP(C717,customers!$A$1:$A$1001,customers!$G$1:$G$1001,customers!A716:H1689)</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7">
        <f t="shared" si="33"/>
        <v>89.1</v>
      </c>
      <c r="N717" t="str">
        <f t="shared" si="34"/>
        <v>Excelsa</v>
      </c>
      <c r="O717" t="str">
        <f t="shared" si="35"/>
        <v>Large</v>
      </c>
      <c r="P717" t="str">
        <f>_xlfn.XLOOKUP(C717,customers!$A$1:$A$1001,customers!$I$1:$I$1001,0)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IF(_xlfn.XLOOKUP(C718,customers!$A$1:$A$1001,customers!$C$1:$C$1001,)=0,"",_xlfn.XLOOKUP(C718,customers!$A$1:$A$1001,customers!$C$1:$C$1001,))</f>
        <v>jdymokeje@prnewswire.com</v>
      </c>
      <c r="H718" s="2" t="str" cm="1">
        <f t="array" ref="H718">_xlfn.XLOOKUP(C718,customers!$A$1:$A$1001,customers!$G$1:$G$1001,customers!A717:H1690)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7">
        <f t="shared" si="33"/>
        <v>35.849999999999994</v>
      </c>
      <c r="N718" t="str">
        <f t="shared" si="34"/>
        <v>Robusta</v>
      </c>
      <c r="O718" t="str">
        <f t="shared" si="35"/>
        <v>Large</v>
      </c>
      <c r="P718" t="str">
        <f>_xlfn.XLOOKUP(C718,customers!$A$1:$A$1001,customers!$I$1:$I$1001,0)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IF(_xlfn.XLOOKUP(C719,customers!$A$1:$A$1001,customers!$C$1:$C$1001,)=0,"",_xlfn.XLOOKUP(C719,customers!$A$1:$A$1001,customers!$C$1:$C$1001,))</f>
        <v>wharvisonjx@gizmodo.com</v>
      </c>
      <c r="H719" s="2" t="str" cm="1">
        <f t="array" ref="H719">_xlfn.XLOOKUP(C719,customers!$A$1:$A$1001,customers!$G$1:$G$1001,customers!A718:H1691)</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7">
        <f t="shared" si="33"/>
        <v>68.655000000000001</v>
      </c>
      <c r="N719" t="str">
        <f t="shared" si="34"/>
        <v>Arabic</v>
      </c>
      <c r="O719" t="str">
        <f t="shared" si="35"/>
        <v>Dark</v>
      </c>
      <c r="P719" t="str">
        <f>_xlfn.XLOOKUP(C719,customers!$A$1:$A$1001,customers!$I$1:$I$1001,0)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IF(_xlfn.XLOOKUP(C720,customers!$A$1:$A$1001,customers!$C$1:$C$1001,)=0,"",_xlfn.XLOOKUP(C720,customers!$A$1:$A$1001,customers!$C$1:$C$1001,))</f>
        <v>dheafordjy@twitpic.com</v>
      </c>
      <c r="H720" s="2" t="str" cm="1">
        <f t="array" ref="H720">_xlfn.XLOOKUP(C720,customers!$A$1:$A$1001,customers!$G$1:$G$1001,customers!A719:H1692)</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7">
        <f t="shared" si="33"/>
        <v>38.849999999999994</v>
      </c>
      <c r="N720" t="str">
        <f t="shared" si="34"/>
        <v>Librica</v>
      </c>
      <c r="O720" t="str">
        <f t="shared" si="35"/>
        <v>Dark</v>
      </c>
      <c r="P720" t="str">
        <f>_xlfn.XLOOKUP(C720,customers!$A$1:$A$1001,customers!$I$1:$I$1001,0)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IF(_xlfn.XLOOKUP(C721,customers!$A$1:$A$1001,customers!$C$1:$C$1001,)=0,"",_xlfn.XLOOKUP(C721,customers!$A$1:$A$1001,customers!$C$1:$C$1001,))</f>
        <v>gfanthamjz@hexun.com</v>
      </c>
      <c r="H721" s="2" t="str" cm="1">
        <f t="array" ref="H721">_xlfn.XLOOKUP(C721,customers!$A$1:$A$1001,customers!$G$1:$G$1001,customers!A720:H1693)</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7">
        <f t="shared" si="33"/>
        <v>79.25</v>
      </c>
      <c r="N721" t="str">
        <f t="shared" si="34"/>
        <v>Librica</v>
      </c>
      <c r="O721" t="str">
        <f t="shared" si="35"/>
        <v>Large</v>
      </c>
      <c r="P721" t="str">
        <f>_xlfn.XLOOKUP(C721,customers!$A$1:$A$1001,customers!$I$1:$I$1001,0)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IF(_xlfn.XLOOKUP(C722,customers!$A$1:$A$1001,customers!$C$1:$C$1001,)=0,"",_xlfn.XLOOKUP(C722,customers!$A$1:$A$1001,customers!$C$1:$C$1001,))</f>
        <v>rcrookshanksk0@unc.edu</v>
      </c>
      <c r="H722" s="2" t="str" cm="1">
        <f t="array" ref="H722">_xlfn.XLOOKUP(C722,customers!$A$1:$A$1001,customers!$G$1:$G$1001,customers!A721:H1694)</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7">
        <f t="shared" si="33"/>
        <v>36.450000000000003</v>
      </c>
      <c r="N722" t="str">
        <f t="shared" si="34"/>
        <v>Excelsa</v>
      </c>
      <c r="O722" t="str">
        <f t="shared" si="35"/>
        <v>Dark</v>
      </c>
      <c r="P722" t="str">
        <f>_xlfn.XLOOKUP(C722,customers!$A$1:$A$1001,customers!$I$1:$I$1001,0)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IF(_xlfn.XLOOKUP(C723,customers!$A$1:$A$1001,customers!$C$1:$C$1001,)=0,"",_xlfn.XLOOKUP(C723,customers!$A$1:$A$1001,customers!$C$1:$C$1001,))</f>
        <v>nleakek1@cmu.edu</v>
      </c>
      <c r="H723" s="2" t="str" cm="1">
        <f t="array" ref="H723">_xlfn.XLOOKUP(C723,customers!$A$1:$A$1001,customers!$G$1:$G$1001,customers!A722:H1695)</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7">
        <f t="shared" si="33"/>
        <v>8.9550000000000001</v>
      </c>
      <c r="N723" t="str">
        <f t="shared" si="34"/>
        <v>Robusta</v>
      </c>
      <c r="O723" t="str">
        <f t="shared" si="35"/>
        <v>Medium</v>
      </c>
      <c r="P723" t="str">
        <f>_xlfn.XLOOKUP(C723,customers!$A$1:$A$1001,customers!$I$1:$I$1001,0)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IF(_xlfn.XLOOKUP(C724,customers!$A$1:$A$1001,customers!$C$1:$C$1001,)=0,"",_xlfn.XLOOKUP(C724,customers!$A$1:$A$1001,customers!$C$1:$C$1001,))</f>
        <v/>
      </c>
      <c r="H724" s="2" t="str" cm="1">
        <f t="array" ref="H724">_xlfn.XLOOKUP(C724,customers!$A$1:$A$1001,customers!$G$1:$G$1001,customers!A723:H1696)</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7">
        <f t="shared" si="33"/>
        <v>24.3</v>
      </c>
      <c r="N724" t="str">
        <f t="shared" si="34"/>
        <v>Excelsa</v>
      </c>
      <c r="O724" t="str">
        <f t="shared" si="35"/>
        <v>Dark</v>
      </c>
      <c r="P724" t="str">
        <f>_xlfn.XLOOKUP(C724,customers!$A$1:$A$1001,customers!$I$1:$I$1001,0)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IF(_xlfn.XLOOKUP(C725,customers!$A$1:$A$1001,customers!$C$1:$C$1001,)=0,"",_xlfn.XLOOKUP(C725,customers!$A$1:$A$1001,customers!$C$1:$C$1001,))</f>
        <v>geilhersenk3@networksolutions.com</v>
      </c>
      <c r="H725" s="2" t="str" cm="1">
        <f t="array" ref="H725">_xlfn.XLOOKUP(C725,customers!$A$1:$A$1001,customers!$G$1:$G$1001,customers!A724:H1697)</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7">
        <f t="shared" si="33"/>
        <v>63.249999999999993</v>
      </c>
      <c r="N725" t="str">
        <f t="shared" si="34"/>
        <v>Excelsa</v>
      </c>
      <c r="O725" t="str">
        <f t="shared" si="35"/>
        <v>Medium</v>
      </c>
      <c r="P725" t="str">
        <f>_xlfn.XLOOKUP(C725,customers!$A$1:$A$1001,customers!$I$1:$I$1001,0)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IF(_xlfn.XLOOKUP(C726,customers!$A$1:$A$1001,customers!$C$1:$C$1001,)=0,"",_xlfn.XLOOKUP(C726,customers!$A$1:$A$1001,customers!$C$1:$C$1001,))</f>
        <v/>
      </c>
      <c r="H726" s="2" t="str" cm="1">
        <f t="array" ref="H726">_xlfn.XLOOKUP(C726,customers!$A$1:$A$1001,customers!$G$1:$G$1001,customers!A725:H1698)</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7">
        <f t="shared" si="33"/>
        <v>6.75</v>
      </c>
      <c r="N726" t="str">
        <f t="shared" si="34"/>
        <v>Arabic</v>
      </c>
      <c r="O726" t="str">
        <f t="shared" si="35"/>
        <v>Medium</v>
      </c>
      <c r="P726" t="str">
        <f>_xlfn.XLOOKUP(C726,customers!$A$1:$A$1001,customers!$I$1:$I$1001,0)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IF(_xlfn.XLOOKUP(C727,customers!$A$1:$A$1001,customers!$C$1:$C$1001,)=0,"",_xlfn.XLOOKUP(C727,customers!$A$1:$A$1001,customers!$C$1:$C$1001,))</f>
        <v>caleixok5@globo.com</v>
      </c>
      <c r="H727" s="2" t="str" cm="1">
        <f t="array" ref="H727">_xlfn.XLOOKUP(C727,customers!$A$1:$A$1001,customers!$G$1:$G$1001,customers!A726:H1699)</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7">
        <f t="shared" si="33"/>
        <v>23.31</v>
      </c>
      <c r="N727" t="str">
        <f t="shared" si="34"/>
        <v>Arabic</v>
      </c>
      <c r="O727" t="str">
        <f t="shared" si="35"/>
        <v>Large</v>
      </c>
      <c r="P727" t="str">
        <f>_xlfn.XLOOKUP(C727,customers!$A$1:$A$1001,customers!$I$1:$I$1001,0)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IF(_xlfn.XLOOKUP(C728,customers!$A$1:$A$1001,customers!$C$1:$C$1001,)=0,"",_xlfn.XLOOKUP(C728,customers!$A$1:$A$1001,customers!$C$1:$C$1001,))</f>
        <v/>
      </c>
      <c r="H728" s="2" t="str" cm="1">
        <f t="array" ref="H728">_xlfn.XLOOKUP(C728,customers!$A$1:$A$1001,customers!$G$1:$G$1001,customers!A727:H1700)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7">
        <f t="shared" si="33"/>
        <v>145.82</v>
      </c>
      <c r="N728" t="str">
        <f t="shared" si="34"/>
        <v>Librica</v>
      </c>
      <c r="O728" t="str">
        <f t="shared" si="35"/>
        <v>Large</v>
      </c>
      <c r="P728" t="str">
        <f>_xlfn.XLOOKUP(C728,customers!$A$1:$A$1001,customers!$I$1:$I$1001,0)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IF(_xlfn.XLOOKUP(C729,customers!$A$1:$A$1001,customers!$C$1:$C$1001,)=0,"",_xlfn.XLOOKUP(C729,customers!$A$1:$A$1001,customers!$C$1:$C$1001,))</f>
        <v>rtomkowiczk7@bravesites.com</v>
      </c>
      <c r="H729" s="2" t="str" cm="1">
        <f t="array" ref="H729">_xlfn.XLOOKUP(C729,customers!$A$1:$A$1001,customers!$G$1:$G$1001,customers!A728:H1701)</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7">
        <f t="shared" si="33"/>
        <v>29.849999999999998</v>
      </c>
      <c r="N729" t="str">
        <f t="shared" si="34"/>
        <v>Robusta</v>
      </c>
      <c r="O729" t="str">
        <f t="shared" si="35"/>
        <v>Medium</v>
      </c>
      <c r="P729" t="str">
        <f>_xlfn.XLOOKUP(C729,customers!$A$1:$A$1001,customers!$I$1:$I$1001,0)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IF(_xlfn.XLOOKUP(C730,customers!$A$1:$A$1001,customers!$C$1:$C$1001,)=0,"",_xlfn.XLOOKUP(C730,customers!$A$1:$A$1001,customers!$C$1:$C$1001,))</f>
        <v>rhuscroftk8@jimdo.com</v>
      </c>
      <c r="H730" s="2" t="str" cm="1">
        <f t="array" ref="H730">_xlfn.XLOOKUP(C730,customers!$A$1:$A$1001,customers!$G$1:$G$1001,customers!A729:H1702)</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7">
        <f t="shared" si="33"/>
        <v>21.87</v>
      </c>
      <c r="N730" t="str">
        <f t="shared" si="34"/>
        <v>Excelsa</v>
      </c>
      <c r="O730" t="str">
        <f t="shared" si="35"/>
        <v>Dark</v>
      </c>
      <c r="P730" t="str">
        <f>_xlfn.XLOOKUP(C730,customers!$A$1:$A$1001,customers!$I$1:$I$1001,0)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IF(_xlfn.XLOOKUP(C731,customers!$A$1:$A$1001,customers!$C$1:$C$1001,)=0,"",_xlfn.XLOOKUP(C731,customers!$A$1:$A$1001,customers!$C$1:$C$1001,))</f>
        <v>sscurrerk9@flavors.me</v>
      </c>
      <c r="H731" s="2" t="str" cm="1">
        <f t="array" ref="H731">_xlfn.XLOOKUP(C731,customers!$A$1:$A$1001,customers!$G$1:$G$1001,customers!A730:H1703)</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7">
        <f t="shared" si="33"/>
        <v>4.3650000000000002</v>
      </c>
      <c r="N731" t="str">
        <f t="shared" si="34"/>
        <v>Librica</v>
      </c>
      <c r="O731" t="str">
        <f t="shared" si="35"/>
        <v>Medium</v>
      </c>
      <c r="P731" t="str">
        <f>_xlfn.XLOOKUP(C731,customers!$A$1:$A$1001,customers!$I$1:$I$1001,0)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IF(_xlfn.XLOOKUP(C732,customers!$A$1:$A$1001,customers!$C$1:$C$1001,)=0,"",_xlfn.XLOOKUP(C732,customers!$A$1:$A$1001,customers!$C$1:$C$1001,))</f>
        <v>arudramka@prnewswire.com</v>
      </c>
      <c r="H732" s="2" t="str" cm="1">
        <f t="array" ref="H732">_xlfn.XLOOKUP(C732,customers!$A$1:$A$1001,customers!$G$1:$G$1001,customers!A731:H1704)</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7">
        <f t="shared" si="33"/>
        <v>36.454999999999998</v>
      </c>
      <c r="N732" t="str">
        <f t="shared" si="34"/>
        <v>Librica</v>
      </c>
      <c r="O732" t="str">
        <f t="shared" si="35"/>
        <v>Large</v>
      </c>
      <c r="P732" t="str">
        <f>_xlfn.XLOOKUP(C732,customers!$A$1:$A$1001,customers!$I$1:$I$1001,0)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IF(_xlfn.XLOOKUP(C733,customers!$A$1:$A$1001,customers!$C$1:$C$1001,)=0,"",_xlfn.XLOOKUP(C733,customers!$A$1:$A$1001,customers!$C$1:$C$1001,))</f>
        <v/>
      </c>
      <c r="H733" s="2" t="str" cm="1">
        <f t="array" ref="H733">_xlfn.XLOOKUP(C733,customers!$A$1:$A$1001,customers!$G$1:$G$1001,customers!A732:H1705)</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7">
        <f t="shared" si="33"/>
        <v>15.54</v>
      </c>
      <c r="N733" t="str">
        <f t="shared" si="34"/>
        <v>Librica</v>
      </c>
      <c r="O733" t="str">
        <f t="shared" si="35"/>
        <v>Dark</v>
      </c>
      <c r="P733" t="str">
        <f>_xlfn.XLOOKUP(C733,customers!$A$1:$A$1001,customers!$I$1:$I$1001,0)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IF(_xlfn.XLOOKUP(C734,customers!$A$1:$A$1001,customers!$C$1:$C$1001,)=0,"",_xlfn.XLOOKUP(C734,customers!$A$1:$A$1001,customers!$C$1:$C$1001,))</f>
        <v>jmahakc@cyberchimps.com</v>
      </c>
      <c r="H734" s="2" t="str" cm="1">
        <f t="array" ref="H734">_xlfn.XLOOKUP(C734,customers!$A$1:$A$1001,customers!$G$1:$G$1001,customers!A733:H1706)</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7">
        <f t="shared" si="33"/>
        <v>8.91</v>
      </c>
      <c r="N734" t="str">
        <f t="shared" si="34"/>
        <v>Excelsa</v>
      </c>
      <c r="O734" t="str">
        <f t="shared" si="35"/>
        <v>Large</v>
      </c>
      <c r="P734" t="str">
        <f>_xlfn.XLOOKUP(C734,customers!$A$1:$A$1001,customers!$I$1:$I$1001,0)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IF(_xlfn.XLOOKUP(C735,customers!$A$1:$A$1001,customers!$C$1:$C$1001,)=0,"",_xlfn.XLOOKUP(C735,customers!$A$1:$A$1001,customers!$C$1:$C$1001,))</f>
        <v>gclemonkd@networksolutions.com</v>
      </c>
      <c r="H735" s="2" t="str" cm="1">
        <f t="array" ref="H735">_xlfn.XLOOKUP(C735,customers!$A$1:$A$1001,customers!$G$1:$G$1001,customers!A734:H1707)</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7">
        <f t="shared" si="33"/>
        <v>100.39499999999998</v>
      </c>
      <c r="N735" t="str">
        <f t="shared" si="34"/>
        <v>Librica</v>
      </c>
      <c r="O735" t="str">
        <f t="shared" si="35"/>
        <v>Medium</v>
      </c>
      <c r="P735" t="str">
        <f>_xlfn.XLOOKUP(C735,customers!$A$1:$A$1001,customers!$I$1:$I$1001,0)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IF(_xlfn.XLOOKUP(C736,customers!$A$1:$A$1001,customers!$C$1:$C$1001,)=0,"",_xlfn.XLOOKUP(C736,customers!$A$1:$A$1001,customers!$C$1:$C$1001,))</f>
        <v/>
      </c>
      <c r="H736" s="2" t="str" cm="1">
        <f t="array" ref="H736">_xlfn.XLOOKUP(C736,customers!$A$1:$A$1001,customers!$G$1:$G$1001,customers!A735:H1708)</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7">
        <f t="shared" si="33"/>
        <v>13.424999999999997</v>
      </c>
      <c r="N736" t="str">
        <f t="shared" si="34"/>
        <v>Robusta</v>
      </c>
      <c r="O736" t="str">
        <f t="shared" si="35"/>
        <v>Dark</v>
      </c>
      <c r="P736" t="str">
        <f>_xlfn.XLOOKUP(C736,customers!$A$1:$A$1001,customers!$I$1:$I$1001,0)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IF(_xlfn.XLOOKUP(C737,customers!$A$1:$A$1001,customers!$C$1:$C$1001,)=0,"",_xlfn.XLOOKUP(C737,customers!$A$1:$A$1001,customers!$C$1:$C$1001,))</f>
        <v>bpollinskf@shinystat.com</v>
      </c>
      <c r="H737" s="2" t="str" cm="1">
        <f t="array" ref="H737">_xlfn.XLOOKUP(C737,customers!$A$1:$A$1001,customers!$G$1:$G$1001,customers!A736:H1709)</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7">
        <f t="shared" si="33"/>
        <v>21.87</v>
      </c>
      <c r="N737" t="str">
        <f t="shared" si="34"/>
        <v>Excelsa</v>
      </c>
      <c r="O737" t="str">
        <f t="shared" si="35"/>
        <v>Dark</v>
      </c>
      <c r="P737" t="str">
        <f>_xlfn.XLOOKUP(C737,customers!$A$1:$A$1001,customers!$I$1:$I$1001,0)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IF(_xlfn.XLOOKUP(C738,customers!$A$1:$A$1001,customers!$C$1:$C$1001,)=0,"",_xlfn.XLOOKUP(C738,customers!$A$1:$A$1001,customers!$C$1:$C$1001,))</f>
        <v>jtoyekg@pinterest.com</v>
      </c>
      <c r="H738" s="2" t="str" cm="1">
        <f t="array" ref="H738">_xlfn.XLOOKUP(C738,customers!$A$1:$A$1001,customers!$G$1:$G$1001,customers!A737:H1710)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7">
        <f t="shared" si="33"/>
        <v>25.9</v>
      </c>
      <c r="N738" t="str">
        <f t="shared" si="34"/>
        <v>Librica</v>
      </c>
      <c r="O738" t="str">
        <f t="shared" si="35"/>
        <v>Dark</v>
      </c>
      <c r="P738" t="str">
        <f>_xlfn.XLOOKUP(C738,customers!$A$1:$A$1001,customers!$I$1:$I$1001,0)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IF(_xlfn.XLOOKUP(C739,customers!$A$1:$A$1001,customers!$C$1:$C$1001,)=0,"",_xlfn.XLOOKUP(C739,customers!$A$1:$A$1001,customers!$C$1:$C$1001,))</f>
        <v>clinskillkh@sphinn.com</v>
      </c>
      <c r="H739" s="2" t="str" cm="1">
        <f t="array" ref="H739">_xlfn.XLOOKUP(C739,customers!$A$1:$A$1001,customers!$G$1:$G$1001,customers!A738:H1711)</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7">
        <f t="shared" si="33"/>
        <v>56.25</v>
      </c>
      <c r="N739" t="str">
        <f t="shared" si="34"/>
        <v>Arabic</v>
      </c>
      <c r="O739" t="str">
        <f t="shared" si="35"/>
        <v>Medium</v>
      </c>
      <c r="P739" t="str">
        <f>_xlfn.XLOOKUP(C739,customers!$A$1:$A$1001,customers!$I$1:$I$1001,0)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IF(_xlfn.XLOOKUP(C740,customers!$A$1:$A$1001,customers!$C$1:$C$1001,)=0,"",_xlfn.XLOOKUP(C740,customers!$A$1:$A$1001,customers!$C$1:$C$1001,))</f>
        <v>nvigrasski@ezinearticles.com</v>
      </c>
      <c r="H740" s="2" t="str" cm="1">
        <f t="array" ref="H740">_xlfn.XLOOKUP(C740,customers!$A$1:$A$1001,customers!$G$1:$G$1001,customers!A739:H1712)</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7">
        <f t="shared" si="33"/>
        <v>10.754999999999999</v>
      </c>
      <c r="N740" t="str">
        <f t="shared" si="34"/>
        <v>Robusta</v>
      </c>
      <c r="O740" t="str">
        <f t="shared" si="35"/>
        <v>Large</v>
      </c>
      <c r="P740" t="str">
        <f>_xlfn.XLOOKUP(C740,customers!$A$1:$A$1001,customers!$I$1:$I$1001,0)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IF(_xlfn.XLOOKUP(C741,customers!$A$1:$A$1001,customers!$C$1:$C$1001,)=0,"",_xlfn.XLOOKUP(C741,customers!$A$1:$A$1001,customers!$C$1:$C$1001,))</f>
        <v>jdymokeje@prnewswire.com</v>
      </c>
      <c r="H741" s="2" t="str" cm="1">
        <f t="array" ref="H741">_xlfn.XLOOKUP(C741,customers!$A$1:$A$1001,customers!$G$1:$G$1001,customers!A740:H1713)</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7">
        <f t="shared" si="33"/>
        <v>18.225000000000001</v>
      </c>
      <c r="N741" t="str">
        <f t="shared" si="34"/>
        <v>Excelsa</v>
      </c>
      <c r="O741" t="str">
        <f t="shared" si="35"/>
        <v>Dark</v>
      </c>
      <c r="P741" t="str">
        <f>_xlfn.XLOOKUP(C741,customers!$A$1:$A$1001,customers!$I$1:$I$1001,0)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IF(_xlfn.XLOOKUP(C742,customers!$A$1:$A$1001,customers!$C$1:$C$1001,)=0,"",_xlfn.XLOOKUP(C742,customers!$A$1:$A$1001,customers!$C$1:$C$1001,))</f>
        <v>kcragellkk@google.com</v>
      </c>
      <c r="H742" s="2" t="str" cm="1">
        <f t="array" ref="H742">_xlfn.XLOOKUP(C742,customers!$A$1:$A$1001,customers!$G$1:$G$1001,customers!A741:H1714)</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7">
        <f t="shared" si="33"/>
        <v>28.679999999999996</v>
      </c>
      <c r="N742" t="str">
        <f t="shared" si="34"/>
        <v>Robusta</v>
      </c>
      <c r="O742" t="str">
        <f t="shared" si="35"/>
        <v>Large</v>
      </c>
      <c r="P742" t="str">
        <f>_xlfn.XLOOKUP(C742,customers!$A$1:$A$1001,customers!$I$1:$I$1001,0)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IF(_xlfn.XLOOKUP(C743,customers!$A$1:$A$1001,customers!$C$1:$C$1001,)=0,"",_xlfn.XLOOKUP(C743,customers!$A$1:$A$1001,customers!$C$1:$C$1001,))</f>
        <v>libertkl@huffingtonpost.com</v>
      </c>
      <c r="H743" s="2" t="str" cm="1">
        <f t="array" ref="H743">_xlfn.XLOOKUP(C743,customers!$A$1:$A$1001,customers!$G$1:$G$1001,customers!A742:H1715)</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7">
        <f t="shared" si="33"/>
        <v>8.73</v>
      </c>
      <c r="N743" t="str">
        <f t="shared" si="34"/>
        <v>Librica</v>
      </c>
      <c r="O743" t="str">
        <f t="shared" si="35"/>
        <v>Medium</v>
      </c>
      <c r="P743" t="str">
        <f>_xlfn.XLOOKUP(C743,customers!$A$1:$A$1001,customers!$I$1:$I$1001,0)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IF(_xlfn.XLOOKUP(C744,customers!$A$1:$A$1001,customers!$C$1:$C$1001,)=0,"",_xlfn.XLOOKUP(C744,customers!$A$1:$A$1001,customers!$C$1:$C$1001,))</f>
        <v>rlidgeykm@vimeo.com</v>
      </c>
      <c r="H744" s="2" t="str" cm="1">
        <f t="array" ref="H744">_xlfn.XLOOKUP(C744,customers!$A$1:$A$1001,customers!$G$1:$G$1001,customers!A743:H1716)</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7">
        <f t="shared" si="33"/>
        <v>58.2</v>
      </c>
      <c r="N744" t="str">
        <f t="shared" si="34"/>
        <v>Librica</v>
      </c>
      <c r="O744" t="str">
        <f t="shared" si="35"/>
        <v>Medium</v>
      </c>
      <c r="P744" t="str">
        <f>_xlfn.XLOOKUP(C744,customers!$A$1:$A$1001,customers!$I$1:$I$1001,0)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IF(_xlfn.XLOOKUP(C745,customers!$A$1:$A$1001,customers!$C$1:$C$1001,)=0,"",_xlfn.XLOOKUP(C745,customers!$A$1:$A$1001,customers!$C$1:$C$1001,))</f>
        <v>tcastagnekn@wikia.com</v>
      </c>
      <c r="H745" s="2" t="str" cm="1">
        <f t="array" ref="H745">_xlfn.XLOOKUP(C745,customers!$A$1:$A$1001,customers!$G$1:$G$1001,customers!A744:H1717)</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7">
        <f t="shared" si="33"/>
        <v>17.91</v>
      </c>
      <c r="N745" t="str">
        <f t="shared" si="34"/>
        <v>Arabic</v>
      </c>
      <c r="O745" t="str">
        <f t="shared" si="35"/>
        <v>Dark</v>
      </c>
      <c r="P745" t="str">
        <f>_xlfn.XLOOKUP(C745,customers!$A$1:$A$1001,customers!$I$1:$I$1001,0)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IF(_xlfn.XLOOKUP(C746,customers!$A$1:$A$1001,customers!$C$1:$C$1001,)=0,"",_xlfn.XLOOKUP(C746,customers!$A$1:$A$1001,customers!$C$1:$C$1001,))</f>
        <v/>
      </c>
      <c r="H746" s="2" t="str" cm="1">
        <f t="array" ref="H746">_xlfn.XLOOKUP(C746,customers!$A$1:$A$1001,customers!$G$1:$G$1001,customers!A745:H1718)</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7">
        <f t="shared" si="33"/>
        <v>17.91</v>
      </c>
      <c r="N746" t="str">
        <f t="shared" si="34"/>
        <v>Robusta</v>
      </c>
      <c r="O746" t="str">
        <f t="shared" si="35"/>
        <v>Medium</v>
      </c>
      <c r="P746" t="str">
        <f>_xlfn.XLOOKUP(C746,customers!$A$1:$A$1001,customers!$I$1:$I$1001,0)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IF(_xlfn.XLOOKUP(C747,customers!$A$1:$A$1001,customers!$C$1:$C$1001,)=0,"",_xlfn.XLOOKUP(C747,customers!$A$1:$A$1001,customers!$C$1:$C$1001,))</f>
        <v>jhaldenkp@comcast.net</v>
      </c>
      <c r="H747" s="2" t="str" cm="1">
        <f t="array" ref="H747">_xlfn.XLOOKUP(C747,customers!$A$1:$A$1001,customers!$G$1:$G$1001,customers!A746:H1719)</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7">
        <f t="shared" si="33"/>
        <v>14.58</v>
      </c>
      <c r="N747" t="str">
        <f t="shared" si="34"/>
        <v>Excelsa</v>
      </c>
      <c r="O747" t="str">
        <f t="shared" si="35"/>
        <v>Dark</v>
      </c>
      <c r="P747" t="str">
        <f>_xlfn.XLOOKUP(C747,customers!$A$1:$A$1001,customers!$I$1:$I$1001,0)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IF(_xlfn.XLOOKUP(C748,customers!$A$1:$A$1001,customers!$C$1:$C$1001,)=0,"",_xlfn.XLOOKUP(C748,customers!$A$1:$A$1001,customers!$C$1:$C$1001,))</f>
        <v>holliffkq@sciencedirect.com</v>
      </c>
      <c r="H748" s="2" t="str" cm="1">
        <f t="array" ref="H748">_xlfn.XLOOKUP(C748,customers!$A$1:$A$1001,customers!$G$1:$G$1001,customers!A747:H1720)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7">
        <f t="shared" si="33"/>
        <v>33.75</v>
      </c>
      <c r="N748" t="str">
        <f t="shared" si="34"/>
        <v>Arabic</v>
      </c>
      <c r="O748" t="str">
        <f t="shared" si="35"/>
        <v>Medium</v>
      </c>
      <c r="P748" t="str">
        <f>_xlfn.XLOOKUP(C748,customers!$A$1:$A$1001,customers!$I$1:$I$1001,0)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IF(_xlfn.XLOOKUP(C749,customers!$A$1:$A$1001,customers!$C$1:$C$1001,)=0,"",_xlfn.XLOOKUP(C749,customers!$A$1:$A$1001,customers!$C$1:$C$1001,))</f>
        <v>tquadrikr@opensource.org</v>
      </c>
      <c r="H749" s="2" t="str" cm="1">
        <f t="array" ref="H749">_xlfn.XLOOKUP(C749,customers!$A$1:$A$1001,customers!$G$1:$G$1001,customers!A748:H1721)</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7">
        <f t="shared" si="33"/>
        <v>34.92</v>
      </c>
      <c r="N749" t="str">
        <f t="shared" si="34"/>
        <v>Librica</v>
      </c>
      <c r="O749" t="str">
        <f t="shared" si="35"/>
        <v>Medium</v>
      </c>
      <c r="P749" t="str">
        <f>_xlfn.XLOOKUP(C749,customers!$A$1:$A$1001,customers!$I$1:$I$1001,0)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IF(_xlfn.XLOOKUP(C750,customers!$A$1:$A$1001,customers!$C$1:$C$1001,)=0,"",_xlfn.XLOOKUP(C750,customers!$A$1:$A$1001,customers!$C$1:$C$1001,))</f>
        <v>feshmadeks@umn.edu</v>
      </c>
      <c r="H750" s="2" t="str" cm="1">
        <f t="array" ref="H750">_xlfn.XLOOKUP(C750,customers!$A$1:$A$1001,customers!$G$1:$G$1001,customers!A749:H1722)</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7">
        <f t="shared" si="33"/>
        <v>14.58</v>
      </c>
      <c r="N750" t="str">
        <f t="shared" si="34"/>
        <v>Excelsa</v>
      </c>
      <c r="O750" t="str">
        <f t="shared" si="35"/>
        <v>Dark</v>
      </c>
      <c r="P750" t="str">
        <f>_xlfn.XLOOKUP(C750,customers!$A$1:$A$1001,customers!$I$1:$I$1001,0)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IF(_xlfn.XLOOKUP(C751,customers!$A$1:$A$1001,customers!$C$1:$C$1001,)=0,"",_xlfn.XLOOKUP(C751,customers!$A$1:$A$1001,customers!$C$1:$C$1001,))</f>
        <v>moilierkt@paginegialle.it</v>
      </c>
      <c r="H751" s="2" t="str" cm="1">
        <f t="array" ref="H751">_xlfn.XLOOKUP(C751,customers!$A$1:$A$1001,customers!$G$1:$G$1001,customers!A750:H1723)</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7">
        <f t="shared" si="33"/>
        <v>5.3699999999999992</v>
      </c>
      <c r="N751" t="str">
        <f t="shared" si="34"/>
        <v>Robusta</v>
      </c>
      <c r="O751" t="str">
        <f t="shared" si="35"/>
        <v>Dark</v>
      </c>
      <c r="P751" t="str">
        <f>_xlfn.XLOOKUP(C751,customers!$A$1:$A$1001,customers!$I$1:$I$1001,0)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IF(_xlfn.XLOOKUP(C752,customers!$A$1:$A$1001,customers!$C$1:$C$1001,)=0,"",_xlfn.XLOOKUP(C752,customers!$A$1:$A$1001,customers!$C$1:$C$1001,))</f>
        <v/>
      </c>
      <c r="H752" s="2" t="str" cm="1">
        <f t="array" ref="H752">_xlfn.XLOOKUP(C752,customers!$A$1:$A$1001,customers!$G$1:$G$1001,customers!A751:H1724)</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7">
        <f t="shared" si="33"/>
        <v>5.97</v>
      </c>
      <c r="N752" t="str">
        <f t="shared" si="34"/>
        <v>Robusta</v>
      </c>
      <c r="O752" t="str">
        <f t="shared" si="35"/>
        <v>Medium</v>
      </c>
      <c r="P752" t="str">
        <f>_xlfn.XLOOKUP(C752,customers!$A$1:$A$1001,customers!$I$1:$I$1001,0)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IF(_xlfn.XLOOKUP(C753,customers!$A$1:$A$1001,customers!$C$1:$C$1001,)=0,"",_xlfn.XLOOKUP(C753,customers!$A$1:$A$1001,customers!$C$1:$C$1001,))</f>
        <v>vshoebothamkv@redcross.org</v>
      </c>
      <c r="H753" s="2" t="str" cm="1">
        <f t="array" ref="H753">_xlfn.XLOOKUP(C753,customers!$A$1:$A$1001,customers!$G$1:$G$1001,customers!A752:H1725)</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7">
        <f t="shared" si="33"/>
        <v>19.02</v>
      </c>
      <c r="N753" t="str">
        <f t="shared" si="34"/>
        <v>Librica</v>
      </c>
      <c r="O753" t="str">
        <f t="shared" si="35"/>
        <v>Large</v>
      </c>
      <c r="P753" t="str">
        <f>_xlfn.XLOOKUP(C753,customers!$A$1:$A$1001,customers!$I$1:$I$1001,0)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IF(_xlfn.XLOOKUP(C754,customers!$A$1:$A$1001,customers!$C$1:$C$1001,)=0,"",_xlfn.XLOOKUP(C754,customers!$A$1:$A$1001,customers!$C$1:$C$1001,))</f>
        <v>bsterkekw@biblegateway.com</v>
      </c>
      <c r="H754" s="2" t="str" cm="1">
        <f t="array" ref="H754">_xlfn.XLOOKUP(C754,customers!$A$1:$A$1001,customers!$G$1:$G$1001,customers!A753:H1726)</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7">
        <f t="shared" si="33"/>
        <v>27.5</v>
      </c>
      <c r="N754" t="str">
        <f t="shared" si="34"/>
        <v>Excelsa</v>
      </c>
      <c r="O754" t="str">
        <f t="shared" si="35"/>
        <v>Medium</v>
      </c>
      <c r="P754" t="str">
        <f>_xlfn.XLOOKUP(C754,customers!$A$1:$A$1001,customers!$I$1:$I$1001,0)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IF(_xlfn.XLOOKUP(C755,customers!$A$1:$A$1001,customers!$C$1:$C$1001,)=0,"",_xlfn.XLOOKUP(C755,customers!$A$1:$A$1001,customers!$C$1:$C$1001,))</f>
        <v>scaponkx@craigslist.org</v>
      </c>
      <c r="H755" s="2" t="str" cm="1">
        <f t="array" ref="H755">_xlfn.XLOOKUP(C755,customers!$A$1:$A$1001,customers!$G$1:$G$1001,customers!A754:H1727)</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7">
        <f t="shared" si="33"/>
        <v>29.849999999999998</v>
      </c>
      <c r="N755" t="str">
        <f t="shared" si="34"/>
        <v>Arabic</v>
      </c>
      <c r="O755" t="str">
        <f t="shared" si="35"/>
        <v>Dark</v>
      </c>
      <c r="P755" t="str">
        <f>_xlfn.XLOOKUP(C755,customers!$A$1:$A$1001,customers!$I$1:$I$1001,0)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IF(_xlfn.XLOOKUP(C756,customers!$A$1:$A$1001,customers!$C$1:$C$1001,)=0,"",_xlfn.XLOOKUP(C756,customers!$A$1:$A$1001,customers!$C$1:$C$1001,))</f>
        <v>jdymokeje@prnewswire.com</v>
      </c>
      <c r="H756" s="2" t="str" cm="1">
        <f t="array" ref="H756">_xlfn.XLOOKUP(C756,customers!$A$1:$A$1001,customers!$G$1:$G$1001,customers!A755:H1728)</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7">
        <f t="shared" si="33"/>
        <v>17.91</v>
      </c>
      <c r="N756" t="str">
        <f t="shared" si="34"/>
        <v>Arabic</v>
      </c>
      <c r="O756" t="str">
        <f t="shared" si="35"/>
        <v>Dark</v>
      </c>
      <c r="P756" t="str">
        <f>_xlfn.XLOOKUP(C756,customers!$A$1:$A$1001,customers!$I$1:$I$1001,0)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IF(_xlfn.XLOOKUP(C757,customers!$A$1:$A$1001,customers!$C$1:$C$1001,)=0,"",_xlfn.XLOOKUP(C757,customers!$A$1:$A$1001,customers!$C$1:$C$1001,))</f>
        <v>fconstancekz@ifeng.com</v>
      </c>
      <c r="H757" s="2" t="str" cm="1">
        <f t="array" ref="H757">_xlfn.XLOOKUP(C757,customers!$A$1:$A$1001,customers!$G$1:$G$1001,customers!A756:H1729)</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7">
        <f t="shared" si="33"/>
        <v>28.53</v>
      </c>
      <c r="N757" t="str">
        <f t="shared" si="34"/>
        <v>Librica</v>
      </c>
      <c r="O757" t="str">
        <f t="shared" si="35"/>
        <v>Large</v>
      </c>
      <c r="P757" t="str">
        <f>_xlfn.XLOOKUP(C757,customers!$A$1:$A$1001,customers!$I$1:$I$1001,0)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IF(_xlfn.XLOOKUP(C758,customers!$A$1:$A$1001,customers!$C$1:$C$1001,)=0,"",_xlfn.XLOOKUP(C758,customers!$A$1:$A$1001,customers!$C$1:$C$1001,))</f>
        <v>fsulmanl0@washington.edu</v>
      </c>
      <c r="H758" s="2" t="str" cm="1">
        <f t="array" ref="H758">_xlfn.XLOOKUP(C758,customers!$A$1:$A$1001,customers!$G$1:$G$1001,customers!A757:H1730)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7">
        <f t="shared" si="33"/>
        <v>35.799999999999997</v>
      </c>
      <c r="N758" t="str">
        <f t="shared" si="34"/>
        <v>Robusta</v>
      </c>
      <c r="O758" t="str">
        <f t="shared" si="35"/>
        <v>Dark</v>
      </c>
      <c r="P758" t="str">
        <f>_xlfn.XLOOKUP(C758,customers!$A$1:$A$1001,customers!$I$1:$I$1001,0)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IF(_xlfn.XLOOKUP(C759,customers!$A$1:$A$1001,customers!$C$1:$C$1001,)=0,"",_xlfn.XLOOKUP(C759,customers!$A$1:$A$1001,customers!$C$1:$C$1001,))</f>
        <v>dhollymanl1@ibm.com</v>
      </c>
      <c r="H759" s="2" t="str" cm="1">
        <f t="array" ref="H759">_xlfn.XLOOKUP(C759,customers!$A$1:$A$1001,customers!$G$1:$G$1001,customers!A758:H1731)</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7">
        <f t="shared" si="33"/>
        <v>17.91</v>
      </c>
      <c r="N759" t="str">
        <f t="shared" si="34"/>
        <v>Arabic</v>
      </c>
      <c r="O759" t="str">
        <f t="shared" si="35"/>
        <v>Dark</v>
      </c>
      <c r="P759" t="str">
        <f>_xlfn.XLOOKUP(C759,customers!$A$1:$A$1001,customers!$I$1:$I$1001,0)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IF(_xlfn.XLOOKUP(C760,customers!$A$1:$A$1001,customers!$C$1:$C$1001,)=0,"",_xlfn.XLOOKUP(C760,customers!$A$1:$A$1001,customers!$C$1:$C$1001,))</f>
        <v>lnardonil2@hao123.com</v>
      </c>
      <c r="H760" s="2" t="str" cm="1">
        <f t="array" ref="H760">_xlfn.XLOOKUP(C760,customers!$A$1:$A$1001,customers!$G$1:$G$1001,customers!A759:H1732)</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7">
        <f t="shared" si="33"/>
        <v>8.9499999999999993</v>
      </c>
      <c r="N760" t="str">
        <f t="shared" si="34"/>
        <v>Robusta</v>
      </c>
      <c r="O760" t="str">
        <f t="shared" si="35"/>
        <v>Dark</v>
      </c>
      <c r="P760" t="str">
        <f>_xlfn.XLOOKUP(C760,customers!$A$1:$A$1001,customers!$I$1:$I$1001,0)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IF(_xlfn.XLOOKUP(C761,customers!$A$1:$A$1001,customers!$C$1:$C$1001,)=0,"",_xlfn.XLOOKUP(C761,customers!$A$1:$A$1001,customers!$C$1:$C$1001,))</f>
        <v>dyarhaml3@moonfruit.com</v>
      </c>
      <c r="H761" s="2" t="str" cm="1">
        <f t="array" ref="H761">_xlfn.XLOOKUP(C761,customers!$A$1:$A$1001,customers!$G$1:$G$1001,customers!A760:H1733)</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7">
        <f t="shared" si="33"/>
        <v>29.784999999999997</v>
      </c>
      <c r="N761" t="str">
        <f t="shared" si="34"/>
        <v>Librica</v>
      </c>
      <c r="O761" t="str">
        <f t="shared" si="35"/>
        <v>Dark</v>
      </c>
      <c r="P761" t="str">
        <f>_xlfn.XLOOKUP(C761,customers!$A$1:$A$1001,customers!$I$1:$I$1001,0)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IF(_xlfn.XLOOKUP(C762,customers!$A$1:$A$1001,customers!$C$1:$C$1001,)=0,"",_xlfn.XLOOKUP(C762,customers!$A$1:$A$1001,customers!$C$1:$C$1001,))</f>
        <v>aferreal4@wikia.com</v>
      </c>
      <c r="H762" s="2" t="str" cm="1">
        <f t="array" ref="H762">_xlfn.XLOOKUP(C762,customers!$A$1:$A$1001,customers!$G$1:$G$1001,customers!A761:H1734)</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7">
        <f t="shared" si="33"/>
        <v>44.55</v>
      </c>
      <c r="N762" t="str">
        <f t="shared" si="34"/>
        <v>Excelsa</v>
      </c>
      <c r="O762" t="str">
        <f t="shared" si="35"/>
        <v>Large</v>
      </c>
      <c r="P762" t="str">
        <f>_xlfn.XLOOKUP(C762,customers!$A$1:$A$1001,customers!$I$1:$I$1001,0)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IF(_xlfn.XLOOKUP(C763,customers!$A$1:$A$1001,customers!$C$1:$C$1001,)=0,"",_xlfn.XLOOKUP(C763,customers!$A$1:$A$1001,customers!$C$1:$C$1001,))</f>
        <v>ckendrickl5@webnode.com</v>
      </c>
      <c r="H763" s="2" t="str" cm="1">
        <f t="array" ref="H763">_xlfn.XLOOKUP(C763,customers!$A$1:$A$1001,customers!$G$1:$G$1001,customers!A762:H1735)</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7">
        <f t="shared" si="33"/>
        <v>89.1</v>
      </c>
      <c r="N763" t="str">
        <f t="shared" si="34"/>
        <v>Excelsa</v>
      </c>
      <c r="O763" t="str">
        <f t="shared" si="35"/>
        <v>Large</v>
      </c>
      <c r="P763" t="str">
        <f>_xlfn.XLOOKUP(C763,customers!$A$1:$A$1001,customers!$I$1:$I$1001,0)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IF(_xlfn.XLOOKUP(C764,customers!$A$1:$A$1001,customers!$C$1:$C$1001,)=0,"",_xlfn.XLOOKUP(C764,customers!$A$1:$A$1001,customers!$C$1:$C$1001,))</f>
        <v>sdanilchikl6@mit.edu</v>
      </c>
      <c r="H764" s="2" t="str" cm="1">
        <f t="array" ref="H764">_xlfn.XLOOKUP(C764,customers!$A$1:$A$1001,customers!$G$1:$G$1001,customers!A763:H1736)</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7">
        <f t="shared" si="33"/>
        <v>43.650000000000006</v>
      </c>
      <c r="N764" t="str">
        <f t="shared" si="34"/>
        <v>Librica</v>
      </c>
      <c r="O764" t="str">
        <f t="shared" si="35"/>
        <v>Medium</v>
      </c>
      <c r="P764" t="str">
        <f>_xlfn.XLOOKUP(C764,customers!$A$1:$A$1001,customers!$I$1:$I$1001,0)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IF(_xlfn.XLOOKUP(C765,customers!$A$1:$A$1001,customers!$C$1:$C$1001,)=0,"",_xlfn.XLOOKUP(C765,customers!$A$1:$A$1001,customers!$C$1:$C$1001,))</f>
        <v/>
      </c>
      <c r="H765" s="2" t="str" cm="1">
        <f t="array" ref="H765">_xlfn.XLOOKUP(C765,customers!$A$1:$A$1001,customers!$G$1:$G$1001,customers!A764:H1737)</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7">
        <f t="shared" si="33"/>
        <v>23.31</v>
      </c>
      <c r="N765" t="str">
        <f t="shared" si="34"/>
        <v>Arabic</v>
      </c>
      <c r="O765" t="str">
        <f t="shared" si="35"/>
        <v>Large</v>
      </c>
      <c r="P765" t="str">
        <f>_xlfn.XLOOKUP(C765,customers!$A$1:$A$1001,customers!$I$1:$I$1001,0)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IF(_xlfn.XLOOKUP(C766,customers!$A$1:$A$1001,customers!$C$1:$C$1001,)=0,"",_xlfn.XLOOKUP(C766,customers!$A$1:$A$1001,customers!$C$1:$C$1001,))</f>
        <v>bfolomkinl8@yolasite.com</v>
      </c>
      <c r="H766" s="2" t="str" cm="1">
        <f t="array" ref="H766">_xlfn.XLOOKUP(C766,customers!$A$1:$A$1001,customers!$G$1:$G$1001,customers!A765:H1738)</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7">
        <f t="shared" si="33"/>
        <v>178.70999999999998</v>
      </c>
      <c r="N766" t="str">
        <f t="shared" si="34"/>
        <v>Arabic</v>
      </c>
      <c r="O766" t="str">
        <f t="shared" si="35"/>
        <v>Large</v>
      </c>
      <c r="P766" t="str">
        <f>_xlfn.XLOOKUP(C766,customers!$A$1:$A$1001,customers!$I$1:$I$1001,0)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IF(_xlfn.XLOOKUP(C767,customers!$A$1:$A$1001,customers!$C$1:$C$1001,)=0,"",_xlfn.XLOOKUP(C767,customers!$A$1:$A$1001,customers!$C$1:$C$1001,))</f>
        <v>rpursglovel9@biblegateway.com</v>
      </c>
      <c r="H767" s="2" t="str" cm="1">
        <f t="array" ref="H767">_xlfn.XLOOKUP(C767,customers!$A$1:$A$1001,customers!$G$1:$G$1001,customers!A766:H1739)</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7">
        <f t="shared" si="33"/>
        <v>59.699999999999996</v>
      </c>
      <c r="N767" t="str">
        <f t="shared" si="34"/>
        <v>Robusta</v>
      </c>
      <c r="O767" t="str">
        <f t="shared" si="35"/>
        <v>Medium</v>
      </c>
      <c r="P767" t="str">
        <f>_xlfn.XLOOKUP(C767,customers!$A$1:$A$1001,customers!$I$1:$I$1001,0)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IF(_xlfn.XLOOKUP(C768,customers!$A$1:$A$1001,customers!$C$1:$C$1001,)=0,"",_xlfn.XLOOKUP(C768,customers!$A$1:$A$1001,customers!$C$1:$C$1001,))</f>
        <v>rpursglovel9@biblegateway.com</v>
      </c>
      <c r="H768" s="2" t="str" cm="1">
        <f t="array" ref="H768">_xlfn.XLOOKUP(C768,customers!$A$1:$A$1001,customers!$G$1:$G$1001,customers!A767:H1740)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7">
        <f t="shared" si="33"/>
        <v>15.54</v>
      </c>
      <c r="N768" t="str">
        <f t="shared" si="34"/>
        <v>Arabic</v>
      </c>
      <c r="O768" t="str">
        <f t="shared" si="35"/>
        <v>Large</v>
      </c>
      <c r="P768" t="str">
        <f>_xlfn.XLOOKUP(C768,customers!$A$1:$A$1001,customers!$I$1:$I$1001,0)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IF(_xlfn.XLOOKUP(C769,customers!$A$1:$A$1001,customers!$C$1:$C$1001,)=0,"",_xlfn.XLOOKUP(C769,customers!$A$1:$A$1001,customers!$C$1:$C$1001,))</f>
        <v>fconstancekz@ifeng.com</v>
      </c>
      <c r="H769" s="2" t="str" cm="1">
        <f t="array" ref="H769">_xlfn.XLOOKUP(C769,customers!$A$1:$A$1001,customers!$G$1:$G$1001,customers!A768:H1741)</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7">
        <f t="shared" si="33"/>
        <v>89.35499999999999</v>
      </c>
      <c r="N769" t="str">
        <f t="shared" si="34"/>
        <v>Arabic</v>
      </c>
      <c r="O769" t="str">
        <f t="shared" si="35"/>
        <v>Large</v>
      </c>
      <c r="P769" t="str">
        <f>_xlfn.XLOOKUP(C769,customers!$A$1:$A$1001,customers!$I$1:$I$1001,0)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IF(_xlfn.XLOOKUP(C770,customers!$A$1:$A$1001,customers!$C$1:$C$1001,)=0,"",_xlfn.XLOOKUP(C770,customers!$A$1:$A$1001,customers!$C$1:$C$1001,))</f>
        <v>fconstancekz@ifeng.com</v>
      </c>
      <c r="H770" s="2" t="str" cm="1">
        <f t="array" ref="H770">_xlfn.XLOOKUP(C770,customers!$A$1:$A$1001,customers!$G$1:$G$1001,customers!A769:H1742)</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7">
        <f t="shared" si="33"/>
        <v>23.9</v>
      </c>
      <c r="N770" t="str">
        <f t="shared" si="34"/>
        <v>Robusta</v>
      </c>
      <c r="O770" t="str">
        <f t="shared" si="35"/>
        <v>Large</v>
      </c>
      <c r="P770" t="str">
        <f>_xlfn.XLOOKUP(C770,customers!$A$1:$A$1001,customers!$I$1:$I$1001,0)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IF(_xlfn.XLOOKUP(C771,customers!$A$1:$A$1001,customers!$C$1:$C$1001,)=0,"",_xlfn.XLOOKUP(C771,customers!$A$1:$A$1001,customers!$C$1:$C$1001,))</f>
        <v>deburahld@google.co.jp</v>
      </c>
      <c r="H771" s="2" t="str" cm="1">
        <f t="array" ref="H771">_xlfn.XLOOKUP(C771,customers!$A$1:$A$1001,customers!$G$1:$G$1001,customers!A770:H1743)</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7">
        <f t="shared" ref="M771:M834" si="36">L771*E771</f>
        <v>137.31</v>
      </c>
      <c r="N771" t="str">
        <f t="shared" ref="N771:N834" si="37">IF(I771="Rob","Robusta",IF(I771="Exc","Excelsa",IF(I771="Ara","Arabic",IF(I771="Lib","Librica"))))</f>
        <v>Robusta</v>
      </c>
      <c r="O771" t="str">
        <f t="shared" ref="O771:O834" si="38">IF(J771="M","Medium",IF(J771="L","Large",IF(J771="D","Dark")))</f>
        <v>Medium</v>
      </c>
      <c r="P771" t="str">
        <f>_xlfn.XLOOKUP(C771,customers!$A$1:$A$1001,customers!$I$1:$I$1001,0)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IF(_xlfn.XLOOKUP(C772,customers!$A$1:$A$1001,customers!$C$1:$C$1001,)=0,"",_xlfn.XLOOKUP(C772,customers!$A$1:$A$1001,customers!$C$1:$C$1001,))</f>
        <v>mbrimilcombele@cnn.com</v>
      </c>
      <c r="H772" s="2" t="str" cm="1">
        <f t="array" ref="H772">_xlfn.XLOOKUP(C772,customers!$A$1:$A$1001,customers!$G$1:$G$1001,customers!A771:H1744)</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7">
        <f t="shared" si="36"/>
        <v>9.9499999999999993</v>
      </c>
      <c r="N772" t="str">
        <f t="shared" si="37"/>
        <v>Arabic</v>
      </c>
      <c r="O772" t="str">
        <f t="shared" si="38"/>
        <v>Dark</v>
      </c>
      <c r="P772" t="str">
        <f>_xlfn.XLOOKUP(C772,customers!$A$1:$A$1001,customers!$I$1:$I$1001,0)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IF(_xlfn.XLOOKUP(C773,customers!$A$1:$A$1001,customers!$C$1:$C$1001,)=0,"",_xlfn.XLOOKUP(C773,customers!$A$1:$A$1001,customers!$C$1:$C$1001,))</f>
        <v>sbollamlf@list-manage.com</v>
      </c>
      <c r="H773" s="2" t="str" cm="1">
        <f t="array" ref="H773">_xlfn.XLOOKUP(C773,customers!$A$1:$A$1001,customers!$G$1:$G$1001,customers!A772:H1745)</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7">
        <f t="shared" si="36"/>
        <v>21.509999999999998</v>
      </c>
      <c r="N773" t="str">
        <f t="shared" si="37"/>
        <v>Robusta</v>
      </c>
      <c r="O773" t="str">
        <f t="shared" si="38"/>
        <v>Large</v>
      </c>
      <c r="P773" t="str">
        <f>_xlfn.XLOOKUP(C773,customers!$A$1:$A$1001,customers!$I$1:$I$1001,0)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IF(_xlfn.XLOOKUP(C774,customers!$A$1:$A$1001,customers!$C$1:$C$1001,)=0,"",_xlfn.XLOOKUP(C774,customers!$A$1:$A$1001,customers!$C$1:$C$1001,))</f>
        <v/>
      </c>
      <c r="H774" s="2" t="str" cm="1">
        <f t="array" ref="H774">_xlfn.XLOOKUP(C774,customers!$A$1:$A$1001,customers!$G$1:$G$1001,customers!A773:H1746)</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7">
        <f t="shared" si="36"/>
        <v>82.5</v>
      </c>
      <c r="N774" t="str">
        <f t="shared" si="37"/>
        <v>Excelsa</v>
      </c>
      <c r="O774" t="str">
        <f t="shared" si="38"/>
        <v>Medium</v>
      </c>
      <c r="P774" t="str">
        <f>_xlfn.XLOOKUP(C774,customers!$A$1:$A$1001,customers!$I$1:$I$1001,0)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IF(_xlfn.XLOOKUP(C775,customers!$A$1:$A$1001,customers!$C$1:$C$1001,)=0,"",_xlfn.XLOOKUP(C775,customers!$A$1:$A$1001,customers!$C$1:$C$1001,))</f>
        <v>afilipczaklh@ning.com</v>
      </c>
      <c r="H775" s="2" t="str" cm="1">
        <f t="array" ref="H775">_xlfn.XLOOKUP(C775,customers!$A$1:$A$1001,customers!$G$1:$G$1001,customers!A774:H1747)</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7">
        <f t="shared" si="36"/>
        <v>8.73</v>
      </c>
      <c r="N775" t="str">
        <f t="shared" si="37"/>
        <v>Librica</v>
      </c>
      <c r="O775" t="str">
        <f t="shared" si="38"/>
        <v>Medium</v>
      </c>
      <c r="P775" t="str">
        <f>_xlfn.XLOOKUP(C775,customers!$A$1:$A$1001,customers!$I$1:$I$1001,0)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IF(_xlfn.XLOOKUP(C776,customers!$A$1:$A$1001,customers!$C$1:$C$1001,)=0,"",_xlfn.XLOOKUP(C776,customers!$A$1:$A$1001,customers!$C$1:$C$1001,))</f>
        <v/>
      </c>
      <c r="H776" s="2" t="str" cm="1">
        <f t="array" ref="H776">_xlfn.XLOOKUP(C776,customers!$A$1:$A$1001,customers!$G$1:$G$1001,customers!A775:H1748)</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7">
        <f t="shared" si="36"/>
        <v>19.899999999999999</v>
      </c>
      <c r="N776" t="str">
        <f t="shared" si="37"/>
        <v>Robusta</v>
      </c>
      <c r="O776" t="str">
        <f t="shared" si="38"/>
        <v>Medium</v>
      </c>
      <c r="P776" t="str">
        <f>_xlfn.XLOOKUP(C776,customers!$A$1:$A$1001,customers!$I$1:$I$1001,0)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IF(_xlfn.XLOOKUP(C777,customers!$A$1:$A$1001,customers!$C$1:$C$1001,)=0,"",_xlfn.XLOOKUP(C777,customers!$A$1:$A$1001,customers!$C$1:$C$1001,))</f>
        <v>relnaughlj@comsenz.com</v>
      </c>
      <c r="H777" s="2" t="str" cm="1">
        <f t="array" ref="H777">_xlfn.XLOOKUP(C777,customers!$A$1:$A$1001,customers!$G$1:$G$1001,customers!A776:H1749)</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7">
        <f t="shared" si="36"/>
        <v>17.82</v>
      </c>
      <c r="N777" t="str">
        <f t="shared" si="37"/>
        <v>Excelsa</v>
      </c>
      <c r="O777" t="str">
        <f t="shared" si="38"/>
        <v>Large</v>
      </c>
      <c r="P777" t="str">
        <f>_xlfn.XLOOKUP(C777,customers!$A$1:$A$1001,customers!$I$1:$I$1001,0)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IF(_xlfn.XLOOKUP(C778,customers!$A$1:$A$1001,customers!$C$1:$C$1001,)=0,"",_xlfn.XLOOKUP(C778,customers!$A$1:$A$1001,customers!$C$1:$C$1001,))</f>
        <v>jdeehanlk@about.me</v>
      </c>
      <c r="H778" s="2" t="str" cm="1">
        <f t="array" ref="H778">_xlfn.XLOOKUP(C778,customers!$A$1:$A$1001,customers!$G$1:$G$1001,customers!A777:H1750)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7">
        <f t="shared" si="36"/>
        <v>20.25</v>
      </c>
      <c r="N778" t="str">
        <f t="shared" si="37"/>
        <v>Arabic</v>
      </c>
      <c r="O778" t="str">
        <f t="shared" si="38"/>
        <v>Medium</v>
      </c>
      <c r="P778" t="str">
        <f>_xlfn.XLOOKUP(C778,customers!$A$1:$A$1001,customers!$I$1:$I$1001,0)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IF(_xlfn.XLOOKUP(C779,customers!$A$1:$A$1001,customers!$C$1:$C$1001,)=0,"",_xlfn.XLOOKUP(C779,customers!$A$1:$A$1001,customers!$C$1:$C$1001,))</f>
        <v>jedenll@e-recht24.de</v>
      </c>
      <c r="H779" s="2" t="str" cm="1">
        <f t="array" ref="H779">_xlfn.XLOOKUP(C779,customers!$A$1:$A$1001,customers!$G$1:$G$1001,customers!A778:H1751)</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7">
        <f t="shared" si="36"/>
        <v>59.569999999999993</v>
      </c>
      <c r="N779" t="str">
        <f t="shared" si="37"/>
        <v>Arabic</v>
      </c>
      <c r="O779" t="str">
        <f t="shared" si="38"/>
        <v>Large</v>
      </c>
      <c r="P779" t="str">
        <f>_xlfn.XLOOKUP(C779,customers!$A$1:$A$1001,customers!$I$1:$I$1001,0)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IF(_xlfn.XLOOKUP(C780,customers!$A$1:$A$1001,customers!$C$1:$C$1001,)=0,"",_xlfn.XLOOKUP(C780,customers!$A$1:$A$1001,customers!$C$1:$C$1001,))</f>
        <v>cjewsterlu@moonfruit.com</v>
      </c>
      <c r="H780" s="2" t="str" cm="1">
        <f t="array" ref="H780">_xlfn.XLOOKUP(C780,customers!$A$1:$A$1001,customers!$G$1:$G$1001,customers!A779:H1752)</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7">
        <f t="shared" si="36"/>
        <v>19.02</v>
      </c>
      <c r="N780" t="str">
        <f t="shared" si="37"/>
        <v>Librica</v>
      </c>
      <c r="O780" t="str">
        <f t="shared" si="38"/>
        <v>Large</v>
      </c>
      <c r="P780" t="str">
        <f>_xlfn.XLOOKUP(C780,customers!$A$1:$A$1001,customers!$I$1:$I$1001,0)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IF(_xlfn.XLOOKUP(C781,customers!$A$1:$A$1001,customers!$C$1:$C$1001,)=0,"",_xlfn.XLOOKUP(C781,customers!$A$1:$A$1001,customers!$C$1:$C$1001,))</f>
        <v>usoutherdenln@hao123.com</v>
      </c>
      <c r="H781" s="2" t="str" cm="1">
        <f t="array" ref="H781">_xlfn.XLOOKUP(C781,customers!$A$1:$A$1001,customers!$G$1:$G$1001,customers!A780:H1753)</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7">
        <f t="shared" si="36"/>
        <v>77.699999999999989</v>
      </c>
      <c r="N781" t="str">
        <f t="shared" si="37"/>
        <v>Librica</v>
      </c>
      <c r="O781" t="str">
        <f t="shared" si="38"/>
        <v>Dark</v>
      </c>
      <c r="P781" t="str">
        <f>_xlfn.XLOOKUP(C781,customers!$A$1:$A$1001,customers!$I$1:$I$1001,0)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IF(_xlfn.XLOOKUP(C782,customers!$A$1:$A$1001,customers!$C$1:$C$1001,)=0,"",_xlfn.XLOOKUP(C782,customers!$A$1:$A$1001,customers!$C$1:$C$1001,))</f>
        <v/>
      </c>
      <c r="H782" s="2" t="str" cm="1">
        <f t="array" ref="H782">_xlfn.XLOOKUP(C782,customers!$A$1:$A$1001,customers!$G$1:$G$1001,customers!A781:H1754)</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7">
        <f t="shared" si="36"/>
        <v>41.25</v>
      </c>
      <c r="N782" t="str">
        <f t="shared" si="37"/>
        <v>Excelsa</v>
      </c>
      <c r="O782" t="str">
        <f t="shared" si="38"/>
        <v>Medium</v>
      </c>
      <c r="P782" t="str">
        <f>_xlfn.XLOOKUP(C782,customers!$A$1:$A$1001,customers!$I$1:$I$1001,0)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IF(_xlfn.XLOOKUP(C783,customers!$A$1:$A$1001,customers!$C$1:$C$1001,)=0,"",_xlfn.XLOOKUP(C783,customers!$A$1:$A$1001,customers!$C$1:$C$1001,))</f>
        <v>lburtenshawlp@shinystat.com</v>
      </c>
      <c r="H783" s="2" t="str" cm="1">
        <f t="array" ref="H783">_xlfn.XLOOKUP(C783,customers!$A$1:$A$1001,customers!$G$1:$G$1001,customers!A782:H1755)</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7">
        <f t="shared" si="36"/>
        <v>145.82</v>
      </c>
      <c r="N783" t="str">
        <f t="shared" si="37"/>
        <v>Librica</v>
      </c>
      <c r="O783" t="str">
        <f t="shared" si="38"/>
        <v>Large</v>
      </c>
      <c r="P783" t="str">
        <f>_xlfn.XLOOKUP(C783,customers!$A$1:$A$1001,customers!$I$1:$I$1001,0)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IF(_xlfn.XLOOKUP(C784,customers!$A$1:$A$1001,customers!$C$1:$C$1001,)=0,"",_xlfn.XLOOKUP(C784,customers!$A$1:$A$1001,customers!$C$1:$C$1001,))</f>
        <v>agregorattilq@vistaprint.com</v>
      </c>
      <c r="H784" s="2" t="str" cm="1">
        <f t="array" ref="H784">_xlfn.XLOOKUP(C784,customers!$A$1:$A$1001,customers!$G$1:$G$1001,customers!A783:H1756)</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7">
        <f t="shared" si="36"/>
        <v>26.73</v>
      </c>
      <c r="N784" t="str">
        <f t="shared" si="37"/>
        <v>Excelsa</v>
      </c>
      <c r="O784" t="str">
        <f t="shared" si="38"/>
        <v>Large</v>
      </c>
      <c r="P784" t="str">
        <f>_xlfn.XLOOKUP(C784,customers!$A$1:$A$1001,customers!$I$1:$I$1001,0)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IF(_xlfn.XLOOKUP(C785,customers!$A$1:$A$1001,customers!$C$1:$C$1001,)=0,"",_xlfn.XLOOKUP(C785,customers!$A$1:$A$1001,customers!$C$1:$C$1001,))</f>
        <v>ccrosterlr@gov.uk</v>
      </c>
      <c r="H785" s="2" t="str" cm="1">
        <f t="array" ref="H785">_xlfn.XLOOKUP(C785,customers!$A$1:$A$1001,customers!$G$1:$G$1001,customers!A784:H1757)</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7">
        <f t="shared" si="36"/>
        <v>43.650000000000006</v>
      </c>
      <c r="N785" t="str">
        <f t="shared" si="37"/>
        <v>Librica</v>
      </c>
      <c r="O785" t="str">
        <f t="shared" si="38"/>
        <v>Medium</v>
      </c>
      <c r="P785" t="str">
        <f>_xlfn.XLOOKUP(C785,customers!$A$1:$A$1001,customers!$I$1:$I$1001,0)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IF(_xlfn.XLOOKUP(C786,customers!$A$1:$A$1001,customers!$C$1:$C$1001,)=0,"",_xlfn.XLOOKUP(C786,customers!$A$1:$A$1001,customers!$C$1:$C$1001,))</f>
        <v>gwhiteheadls@hp.com</v>
      </c>
      <c r="H786" s="2" t="str" cm="1">
        <f t="array" ref="H786">_xlfn.XLOOKUP(C786,customers!$A$1:$A$1001,customers!$G$1:$G$1001,customers!A785:H1758)</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7">
        <f t="shared" si="36"/>
        <v>31.7</v>
      </c>
      <c r="N786" t="str">
        <f t="shared" si="37"/>
        <v>Librica</v>
      </c>
      <c r="O786" t="str">
        <f t="shared" si="38"/>
        <v>Large</v>
      </c>
      <c r="P786" t="str">
        <f>_xlfn.XLOOKUP(C786,customers!$A$1:$A$1001,customers!$I$1:$I$1001,0)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IF(_xlfn.XLOOKUP(C787,customers!$A$1:$A$1001,customers!$C$1:$C$1001,)=0,"",_xlfn.XLOOKUP(C787,customers!$A$1:$A$1001,customers!$C$1:$C$1001,))</f>
        <v>hjodrellelt@samsung.com</v>
      </c>
      <c r="H787" s="2" t="str" cm="1">
        <f t="array" ref="H787">_xlfn.XLOOKUP(C787,customers!$A$1:$A$1001,customers!$G$1:$G$1001,customers!A786:H1759)</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7">
        <f t="shared" si="36"/>
        <v>22.884999999999998</v>
      </c>
      <c r="N787" t="str">
        <f t="shared" si="37"/>
        <v>Arabic</v>
      </c>
      <c r="O787" t="str">
        <f t="shared" si="38"/>
        <v>Dark</v>
      </c>
      <c r="P787" t="str">
        <f>_xlfn.XLOOKUP(C787,customers!$A$1:$A$1001,customers!$I$1:$I$1001,0)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IF(_xlfn.XLOOKUP(C788,customers!$A$1:$A$1001,customers!$C$1:$C$1001,)=0,"",_xlfn.XLOOKUP(C788,customers!$A$1:$A$1001,customers!$C$1:$C$1001,))</f>
        <v>cjewsterlu@moonfruit.com</v>
      </c>
      <c r="H788" s="2" t="str" cm="1">
        <f t="array" ref="H788">_xlfn.XLOOKUP(C788,customers!$A$1:$A$1001,customers!$G$1:$G$1001,customers!A787:H1760)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7">
        <f t="shared" si="36"/>
        <v>27.945</v>
      </c>
      <c r="N788" t="str">
        <f t="shared" si="37"/>
        <v>Excelsa</v>
      </c>
      <c r="O788" t="str">
        <f t="shared" si="38"/>
        <v>Dark</v>
      </c>
      <c r="P788" t="str">
        <f>_xlfn.XLOOKUP(C788,customers!$A$1:$A$1001,customers!$I$1:$I$1001,0)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IF(_xlfn.XLOOKUP(C789,customers!$A$1:$A$1001,customers!$C$1:$C$1001,)=0,"",_xlfn.XLOOKUP(C789,customers!$A$1:$A$1001,customers!$C$1:$C$1001,))</f>
        <v/>
      </c>
      <c r="H789" s="2" t="str" cm="1">
        <f t="array" ref="H789">_xlfn.XLOOKUP(C789,customers!$A$1:$A$1001,customers!$G$1:$G$1001,customers!A788:H1761)</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7">
        <f t="shared" si="36"/>
        <v>82.5</v>
      </c>
      <c r="N789" t="str">
        <f t="shared" si="37"/>
        <v>Excelsa</v>
      </c>
      <c r="O789" t="str">
        <f t="shared" si="38"/>
        <v>Medium</v>
      </c>
      <c r="P789" t="str">
        <f>_xlfn.XLOOKUP(C789,customers!$A$1:$A$1001,customers!$I$1:$I$1001,0)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IF(_xlfn.XLOOKUP(C790,customers!$A$1:$A$1001,customers!$C$1:$C$1001,)=0,"",_xlfn.XLOOKUP(C790,customers!$A$1:$A$1001,customers!$C$1:$C$1001,))</f>
        <v>knottramlw@odnoklassniki.ru</v>
      </c>
      <c r="H790" s="2" t="str" cm="1">
        <f t="array" ref="H790">_xlfn.XLOOKUP(C790,customers!$A$1:$A$1001,customers!$G$1:$G$1001,customers!A789:H1762)</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7">
        <f t="shared" si="36"/>
        <v>45.769999999999996</v>
      </c>
      <c r="N790" t="str">
        <f t="shared" si="37"/>
        <v>Robusta</v>
      </c>
      <c r="O790" t="str">
        <f t="shared" si="38"/>
        <v>Medium</v>
      </c>
      <c r="P790" t="str">
        <f>_xlfn.XLOOKUP(C790,customers!$A$1:$A$1001,customers!$I$1:$I$1001,0)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IF(_xlfn.XLOOKUP(C791,customers!$A$1:$A$1001,customers!$C$1:$C$1001,)=0,"",_xlfn.XLOOKUP(C791,customers!$A$1:$A$1001,customers!$C$1:$C$1001,))</f>
        <v>nbuneylx@jugem.jp</v>
      </c>
      <c r="H791" s="2" t="str" cm="1">
        <f t="array" ref="H791">_xlfn.XLOOKUP(C791,customers!$A$1:$A$1001,customers!$G$1:$G$1001,customers!A790:H1763)</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7">
        <f t="shared" si="36"/>
        <v>77.699999999999989</v>
      </c>
      <c r="N791" t="str">
        <f t="shared" si="37"/>
        <v>Arabic</v>
      </c>
      <c r="O791" t="str">
        <f t="shared" si="38"/>
        <v>Large</v>
      </c>
      <c r="P791" t="str">
        <f>_xlfn.XLOOKUP(C791,customers!$A$1:$A$1001,customers!$I$1:$I$1001,0)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IF(_xlfn.XLOOKUP(C792,customers!$A$1:$A$1001,customers!$C$1:$C$1001,)=0,"",_xlfn.XLOOKUP(C792,customers!$A$1:$A$1001,customers!$C$1:$C$1001,))</f>
        <v>smcshealy@photobucket.com</v>
      </c>
      <c r="H792" s="2" t="str" cm="1">
        <f t="array" ref="H792">_xlfn.XLOOKUP(C792,customers!$A$1:$A$1001,customers!$G$1:$G$1001,customers!A791:H1764)</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7">
        <f t="shared" si="36"/>
        <v>23.31</v>
      </c>
      <c r="N792" t="str">
        <f t="shared" si="37"/>
        <v>Arabic</v>
      </c>
      <c r="O792" t="str">
        <f t="shared" si="38"/>
        <v>Large</v>
      </c>
      <c r="P792" t="str">
        <f>_xlfn.XLOOKUP(C792,customers!$A$1:$A$1001,customers!$I$1:$I$1001,0)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IF(_xlfn.XLOOKUP(C793,customers!$A$1:$A$1001,customers!$C$1:$C$1001,)=0,"",_xlfn.XLOOKUP(C793,customers!$A$1:$A$1001,customers!$C$1:$C$1001,))</f>
        <v>khuddartlz@about.com</v>
      </c>
      <c r="H793" s="2" t="str" cm="1">
        <f t="array" ref="H793">_xlfn.XLOOKUP(C793,customers!$A$1:$A$1001,customers!$G$1:$G$1001,customers!A792:H1765)</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7">
        <f t="shared" si="36"/>
        <v>23.774999999999999</v>
      </c>
      <c r="N793" t="str">
        <f t="shared" si="37"/>
        <v>Librica</v>
      </c>
      <c r="O793" t="str">
        <f t="shared" si="38"/>
        <v>Large</v>
      </c>
      <c r="P793" t="str">
        <f>_xlfn.XLOOKUP(C793,customers!$A$1:$A$1001,customers!$I$1:$I$1001,0)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IF(_xlfn.XLOOKUP(C794,customers!$A$1:$A$1001,customers!$C$1:$C$1001,)=0,"",_xlfn.XLOOKUP(C794,customers!$A$1:$A$1001,customers!$C$1:$C$1001,))</f>
        <v>jgippesm0@cloudflare.com</v>
      </c>
      <c r="H794" s="2" t="str" cm="1">
        <f t="array" ref="H794">_xlfn.XLOOKUP(C794,customers!$A$1:$A$1001,customers!$G$1:$G$1001,customers!A793:H1766)</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7">
        <f t="shared" si="36"/>
        <v>52.38</v>
      </c>
      <c r="N794" t="str">
        <f t="shared" si="37"/>
        <v>Librica</v>
      </c>
      <c r="O794" t="str">
        <f t="shared" si="38"/>
        <v>Medium</v>
      </c>
      <c r="P794" t="str">
        <f>_xlfn.XLOOKUP(C794,customers!$A$1:$A$1001,customers!$I$1:$I$1001,0)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IF(_xlfn.XLOOKUP(C795,customers!$A$1:$A$1001,customers!$C$1:$C$1001,)=0,"",_xlfn.XLOOKUP(C795,customers!$A$1:$A$1001,customers!$C$1:$C$1001,))</f>
        <v>lwhittleseem1@e-recht24.de</v>
      </c>
      <c r="H795" s="2" t="str" cm="1">
        <f t="array" ref="H795">_xlfn.XLOOKUP(C795,customers!$A$1:$A$1001,customers!$G$1:$G$1001,customers!A794:H1767)</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7">
        <f t="shared" si="36"/>
        <v>17.924999999999997</v>
      </c>
      <c r="N795" t="str">
        <f t="shared" si="37"/>
        <v>Robusta</v>
      </c>
      <c r="O795" t="str">
        <f t="shared" si="38"/>
        <v>Large</v>
      </c>
      <c r="P795" t="str">
        <f>_xlfn.XLOOKUP(C795,customers!$A$1:$A$1001,customers!$I$1:$I$1001,0)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IF(_xlfn.XLOOKUP(C796,customers!$A$1:$A$1001,customers!$C$1:$C$1001,)=0,"",_xlfn.XLOOKUP(C796,customers!$A$1:$A$1001,customers!$C$1:$C$1001,))</f>
        <v>gtrengrovem2@elpais.com</v>
      </c>
      <c r="H796" s="2" t="str" cm="1">
        <f t="array" ref="H796">_xlfn.XLOOKUP(C796,customers!$A$1:$A$1001,customers!$G$1:$G$1001,customers!A795:H1768)</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7">
        <f t="shared" si="36"/>
        <v>148.92499999999998</v>
      </c>
      <c r="N796" t="str">
        <f t="shared" si="37"/>
        <v>Arabic</v>
      </c>
      <c r="O796" t="str">
        <f t="shared" si="38"/>
        <v>Large</v>
      </c>
      <c r="P796" t="str">
        <f>_xlfn.XLOOKUP(C796,customers!$A$1:$A$1001,customers!$I$1:$I$1001,0)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IF(_xlfn.XLOOKUP(C797,customers!$A$1:$A$1001,customers!$C$1:$C$1001,)=0,"",_xlfn.XLOOKUP(C797,customers!$A$1:$A$1001,customers!$C$1:$C$1001,))</f>
        <v>wcalderom3@stumbleupon.com</v>
      </c>
      <c r="H797" s="2" t="str" cm="1">
        <f t="array" ref="H797">_xlfn.XLOOKUP(C797,customers!$A$1:$A$1001,customers!$G$1:$G$1001,customers!A796:H1769)</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7">
        <f t="shared" si="36"/>
        <v>28.679999999999996</v>
      </c>
      <c r="N797" t="str">
        <f t="shared" si="37"/>
        <v>Robusta</v>
      </c>
      <c r="O797" t="str">
        <f t="shared" si="38"/>
        <v>Large</v>
      </c>
      <c r="P797" t="str">
        <f>_xlfn.XLOOKUP(C797,customers!$A$1:$A$1001,customers!$I$1:$I$1001,0)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IF(_xlfn.XLOOKUP(C798,customers!$A$1:$A$1001,customers!$C$1:$C$1001,)=0,"",_xlfn.XLOOKUP(C798,customers!$A$1:$A$1001,customers!$C$1:$C$1001,))</f>
        <v/>
      </c>
      <c r="H798" s="2" t="str" cm="1">
        <f t="array" ref="H798">_xlfn.XLOOKUP(C798,customers!$A$1:$A$1001,customers!$G$1:$G$1001,customers!A797:H1770)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7">
        <f t="shared" si="36"/>
        <v>9.51</v>
      </c>
      <c r="N798" t="str">
        <f t="shared" si="37"/>
        <v>Librica</v>
      </c>
      <c r="O798" t="str">
        <f t="shared" si="38"/>
        <v>Large</v>
      </c>
      <c r="P798" t="str">
        <f>_xlfn.XLOOKUP(C798,customers!$A$1:$A$1001,customers!$I$1:$I$1001,0)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IF(_xlfn.XLOOKUP(C799,customers!$A$1:$A$1001,customers!$C$1:$C$1001,)=0,"",_xlfn.XLOOKUP(C799,customers!$A$1:$A$1001,customers!$C$1:$C$1001,))</f>
        <v>jkennicottm5@yahoo.co.jp</v>
      </c>
      <c r="H799" s="2" t="str" cm="1">
        <f t="array" ref="H799">_xlfn.XLOOKUP(C799,customers!$A$1:$A$1001,customers!$G$1:$G$1001,customers!A798:H1771)</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7">
        <f t="shared" si="36"/>
        <v>31.08</v>
      </c>
      <c r="N799" t="str">
        <f t="shared" si="37"/>
        <v>Arabic</v>
      </c>
      <c r="O799" t="str">
        <f t="shared" si="38"/>
        <v>Large</v>
      </c>
      <c r="P799" t="str">
        <f>_xlfn.XLOOKUP(C799,customers!$A$1:$A$1001,customers!$I$1:$I$1001,0)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IF(_xlfn.XLOOKUP(C800,customers!$A$1:$A$1001,customers!$C$1:$C$1001,)=0,"",_xlfn.XLOOKUP(C800,customers!$A$1:$A$1001,customers!$C$1:$C$1001,))</f>
        <v>gruggenm6@nymag.com</v>
      </c>
      <c r="H800" s="2" t="str" cm="1">
        <f t="array" ref="H800">_xlfn.XLOOKUP(C800,customers!$A$1:$A$1001,customers!$G$1:$G$1001,customers!A799:H1772)</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7">
        <f t="shared" si="36"/>
        <v>8.0549999999999997</v>
      </c>
      <c r="N800" t="str">
        <f t="shared" si="37"/>
        <v>Robusta</v>
      </c>
      <c r="O800" t="str">
        <f t="shared" si="38"/>
        <v>Dark</v>
      </c>
      <c r="P800" t="str">
        <f>_xlfn.XLOOKUP(C800,customers!$A$1:$A$1001,customers!$I$1:$I$1001,0)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IF(_xlfn.XLOOKUP(C801,customers!$A$1:$A$1001,customers!$C$1:$C$1001,)=0,"",_xlfn.XLOOKUP(C801,customers!$A$1:$A$1001,customers!$C$1:$C$1001,))</f>
        <v/>
      </c>
      <c r="H801" s="2" t="str" cm="1">
        <f t="array" ref="H801">_xlfn.XLOOKUP(C801,customers!$A$1:$A$1001,customers!$G$1:$G$1001,customers!A800:H1773)</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7">
        <f t="shared" si="36"/>
        <v>36.450000000000003</v>
      </c>
      <c r="N801" t="str">
        <f t="shared" si="37"/>
        <v>Excelsa</v>
      </c>
      <c r="O801" t="str">
        <f t="shared" si="38"/>
        <v>Dark</v>
      </c>
      <c r="P801" t="str">
        <f>_xlfn.XLOOKUP(C801,customers!$A$1:$A$1001,customers!$I$1:$I$1001,0)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IF(_xlfn.XLOOKUP(C802,customers!$A$1:$A$1001,customers!$C$1:$C$1001,)=0,"",_xlfn.XLOOKUP(C802,customers!$A$1:$A$1001,customers!$C$1:$C$1001,))</f>
        <v>mfrightm8@harvard.edu</v>
      </c>
      <c r="H802" s="2" t="str" cm="1">
        <f t="array" ref="H802">_xlfn.XLOOKUP(C802,customers!$A$1:$A$1001,customers!$G$1:$G$1001,customers!A801:H1774)</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7">
        <f t="shared" si="36"/>
        <v>16.11</v>
      </c>
      <c r="N802" t="str">
        <f t="shared" si="37"/>
        <v>Robusta</v>
      </c>
      <c r="O802" t="str">
        <f t="shared" si="38"/>
        <v>Dark</v>
      </c>
      <c r="P802" t="str">
        <f>_xlfn.XLOOKUP(C802,customers!$A$1:$A$1001,customers!$I$1:$I$1001,0)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IF(_xlfn.XLOOKUP(C803,customers!$A$1:$A$1001,customers!$C$1:$C$1001,)=0,"",_xlfn.XLOOKUP(C803,customers!$A$1:$A$1001,customers!$C$1:$C$1001,))</f>
        <v>btartem9@aol.com</v>
      </c>
      <c r="H803" s="2" t="str" cm="1">
        <f t="array" ref="H803">_xlfn.XLOOKUP(C803,customers!$A$1:$A$1001,customers!$G$1:$G$1001,customers!A802:H1775)</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7">
        <f t="shared" si="36"/>
        <v>41.169999999999995</v>
      </c>
      <c r="N803" t="str">
        <f t="shared" si="37"/>
        <v>Robusta</v>
      </c>
      <c r="O803" t="str">
        <f t="shared" si="38"/>
        <v>Dark</v>
      </c>
      <c r="P803" t="str">
        <f>_xlfn.XLOOKUP(C803,customers!$A$1:$A$1001,customers!$I$1:$I$1001,0)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IF(_xlfn.XLOOKUP(C804,customers!$A$1:$A$1001,customers!$C$1:$C$1001,)=0,"",_xlfn.XLOOKUP(C804,customers!$A$1:$A$1001,customers!$C$1:$C$1001,))</f>
        <v>ckrzysztofiakma@skyrock.com</v>
      </c>
      <c r="H804" s="2" t="str" cm="1">
        <f t="array" ref="H804">_xlfn.XLOOKUP(C804,customers!$A$1:$A$1001,customers!$G$1:$G$1001,customers!A803:H1776)</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7">
        <f t="shared" si="36"/>
        <v>10.739999999999998</v>
      </c>
      <c r="N804" t="str">
        <f t="shared" si="37"/>
        <v>Robusta</v>
      </c>
      <c r="O804" t="str">
        <f t="shared" si="38"/>
        <v>Dark</v>
      </c>
      <c r="P804" t="str">
        <f>_xlfn.XLOOKUP(C804,customers!$A$1:$A$1001,customers!$I$1:$I$1001,0)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IF(_xlfn.XLOOKUP(C805,customers!$A$1:$A$1001,customers!$C$1:$C$1001,)=0,"",_xlfn.XLOOKUP(C805,customers!$A$1:$A$1001,customers!$C$1:$C$1001,))</f>
        <v>dpenquetmb@diigo.com</v>
      </c>
      <c r="H805" s="2" t="str" cm="1">
        <f t="array" ref="H805">_xlfn.XLOOKUP(C805,customers!$A$1:$A$1001,customers!$G$1:$G$1001,customers!A804:H1777)</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7">
        <f t="shared" si="36"/>
        <v>126.49999999999999</v>
      </c>
      <c r="N805" t="str">
        <f t="shared" si="37"/>
        <v>Excelsa</v>
      </c>
      <c r="O805" t="str">
        <f t="shared" si="38"/>
        <v>Medium</v>
      </c>
      <c r="P805" t="str">
        <f>_xlfn.XLOOKUP(C805,customers!$A$1:$A$1001,customers!$I$1:$I$1001,0)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IF(_xlfn.XLOOKUP(C806,customers!$A$1:$A$1001,customers!$C$1:$C$1001,)=0,"",_xlfn.XLOOKUP(C806,customers!$A$1:$A$1001,customers!$C$1:$C$1001,))</f>
        <v/>
      </c>
      <c r="H806" s="2" t="str" cm="1">
        <f t="array" ref="H806">_xlfn.XLOOKUP(C806,customers!$A$1:$A$1001,customers!$G$1:$G$1001,customers!A805:H1778)</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7">
        <f t="shared" si="36"/>
        <v>23.9</v>
      </c>
      <c r="N806" t="str">
        <f t="shared" si="37"/>
        <v>Robusta</v>
      </c>
      <c r="O806" t="str">
        <f t="shared" si="38"/>
        <v>Large</v>
      </c>
      <c r="P806" t="str">
        <f>_xlfn.XLOOKUP(C806,customers!$A$1:$A$1001,customers!$I$1:$I$1001,0)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IF(_xlfn.XLOOKUP(C807,customers!$A$1:$A$1001,customers!$C$1:$C$1001,)=0,"",_xlfn.XLOOKUP(C807,customers!$A$1:$A$1001,customers!$C$1:$C$1001,))</f>
        <v/>
      </c>
      <c r="H807" s="2" t="str" cm="1">
        <f t="array" ref="H807">_xlfn.XLOOKUP(C807,customers!$A$1:$A$1001,customers!$G$1:$G$1001,customers!A806:H1779)</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7">
        <f t="shared" si="36"/>
        <v>5.97</v>
      </c>
      <c r="N807" t="str">
        <f t="shared" si="37"/>
        <v>Robusta</v>
      </c>
      <c r="O807" t="str">
        <f t="shared" si="38"/>
        <v>Medium</v>
      </c>
      <c r="P807" t="str">
        <f>_xlfn.XLOOKUP(C807,customers!$A$1:$A$1001,customers!$I$1:$I$1001,0)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IF(_xlfn.XLOOKUP(C808,customers!$A$1:$A$1001,customers!$C$1:$C$1001,)=0,"",_xlfn.XLOOKUP(C808,customers!$A$1:$A$1001,customers!$C$1:$C$1001,))</f>
        <v/>
      </c>
      <c r="H808" s="2" t="str" cm="1">
        <f t="array" ref="H808">_xlfn.XLOOKUP(C808,customers!$A$1:$A$1001,customers!$G$1:$G$1001,customers!A807:H1780)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7">
        <f t="shared" si="36"/>
        <v>7.77</v>
      </c>
      <c r="N808" t="str">
        <f t="shared" si="37"/>
        <v>Librica</v>
      </c>
      <c r="O808" t="str">
        <f t="shared" si="38"/>
        <v>Dark</v>
      </c>
      <c r="P808" t="str">
        <f>_xlfn.XLOOKUP(C808,customers!$A$1:$A$1001,customers!$I$1:$I$1001,0)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IF(_xlfn.XLOOKUP(C809,customers!$A$1:$A$1001,customers!$C$1:$C$1001,)=0,"",_xlfn.XLOOKUP(C809,customers!$A$1:$A$1001,customers!$C$1:$C$1001,))</f>
        <v>kferrettimf@huffingtonpost.com</v>
      </c>
      <c r="H809" s="2" t="str" cm="1">
        <f t="array" ref="H809">_xlfn.XLOOKUP(C809,customers!$A$1:$A$1001,customers!$G$1:$G$1001,customers!A808:H1781)</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7">
        <f t="shared" si="36"/>
        <v>23.31</v>
      </c>
      <c r="N809" t="str">
        <f t="shared" si="37"/>
        <v>Librica</v>
      </c>
      <c r="O809" t="str">
        <f t="shared" si="38"/>
        <v>Dark</v>
      </c>
      <c r="P809" t="str">
        <f>_xlfn.XLOOKUP(C809,customers!$A$1:$A$1001,customers!$I$1:$I$1001,0)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IF(_xlfn.XLOOKUP(C810,customers!$A$1:$A$1001,customers!$C$1:$C$1001,)=0,"",_xlfn.XLOOKUP(C810,customers!$A$1:$A$1001,customers!$C$1:$C$1001,))</f>
        <v/>
      </c>
      <c r="H810" s="2" t="str" cm="1">
        <f t="array" ref="H810">_xlfn.XLOOKUP(C810,customers!$A$1:$A$1001,customers!$G$1:$G$1001,customers!A809:H1782)</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7">
        <f t="shared" si="36"/>
        <v>137.42499999999998</v>
      </c>
      <c r="N810" t="str">
        <f t="shared" si="37"/>
        <v>Robusta</v>
      </c>
      <c r="O810" t="str">
        <f t="shared" si="38"/>
        <v>Large</v>
      </c>
      <c r="P810" t="str">
        <f>_xlfn.XLOOKUP(C810,customers!$A$1:$A$1001,customers!$I$1:$I$1001,0)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IF(_xlfn.XLOOKUP(C811,customers!$A$1:$A$1001,customers!$C$1:$C$1001,)=0,"",_xlfn.XLOOKUP(C811,customers!$A$1:$A$1001,customers!$C$1:$C$1001,))</f>
        <v/>
      </c>
      <c r="H811" s="2" t="str" cm="1">
        <f t="array" ref="H811">_xlfn.XLOOKUP(C811,customers!$A$1:$A$1001,customers!$G$1:$G$1001,customers!A810:H1783)</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7">
        <f t="shared" si="36"/>
        <v>8.0549999999999997</v>
      </c>
      <c r="N811" t="str">
        <f t="shared" si="37"/>
        <v>Robusta</v>
      </c>
      <c r="O811" t="str">
        <f t="shared" si="38"/>
        <v>Dark</v>
      </c>
      <c r="P811" t="str">
        <f>_xlfn.XLOOKUP(C811,customers!$A$1:$A$1001,customers!$I$1:$I$1001,0)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IF(_xlfn.XLOOKUP(C812,customers!$A$1:$A$1001,customers!$C$1:$C$1001,)=0,"",_xlfn.XLOOKUP(C812,customers!$A$1:$A$1001,customers!$C$1:$C$1001,))</f>
        <v>abalsdonemi@toplist.cz</v>
      </c>
      <c r="H812" s="2" t="str" cm="1">
        <f t="array" ref="H812">_xlfn.XLOOKUP(C812,customers!$A$1:$A$1001,customers!$G$1:$G$1001,customers!A811:H1784)</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7">
        <f t="shared" si="36"/>
        <v>28.53</v>
      </c>
      <c r="N812" t="str">
        <f t="shared" si="37"/>
        <v>Librica</v>
      </c>
      <c r="O812" t="str">
        <f t="shared" si="38"/>
        <v>Large</v>
      </c>
      <c r="P812" t="str">
        <f>_xlfn.XLOOKUP(C812,customers!$A$1:$A$1001,customers!$I$1:$I$1001,0)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IF(_xlfn.XLOOKUP(C813,customers!$A$1:$A$1001,customers!$C$1:$C$1001,)=0,"",_xlfn.XLOOKUP(C813,customers!$A$1:$A$1001,customers!$C$1:$C$1001,))</f>
        <v>bromeramj@list-manage.com</v>
      </c>
      <c r="H813" s="2" t="str" cm="1">
        <f t="array" ref="H813">_xlfn.XLOOKUP(C813,customers!$A$1:$A$1001,customers!$G$1:$G$1001,customers!A812:H1785)</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7">
        <f t="shared" si="36"/>
        <v>67.5</v>
      </c>
      <c r="N813" t="str">
        <f t="shared" si="37"/>
        <v>Arabic</v>
      </c>
      <c r="O813" t="str">
        <f t="shared" si="38"/>
        <v>Medium</v>
      </c>
      <c r="P813" t="str">
        <f>_xlfn.XLOOKUP(C813,customers!$A$1:$A$1001,customers!$I$1:$I$1001,0)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IF(_xlfn.XLOOKUP(C814,customers!$A$1:$A$1001,customers!$C$1:$C$1001,)=0,"",_xlfn.XLOOKUP(C814,customers!$A$1:$A$1001,customers!$C$1:$C$1001,))</f>
        <v>bromeramj@list-manage.com</v>
      </c>
      <c r="H814" s="2" t="str" cm="1">
        <f t="array" ref="H814">_xlfn.XLOOKUP(C814,customers!$A$1:$A$1001,customers!$G$1:$G$1001,customers!A813:H1786)</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7">
        <f t="shared" si="36"/>
        <v>178.70999999999998</v>
      </c>
      <c r="N814" t="str">
        <f t="shared" si="37"/>
        <v>Librica</v>
      </c>
      <c r="O814" t="str">
        <f t="shared" si="38"/>
        <v>Dark</v>
      </c>
      <c r="P814" t="str">
        <f>_xlfn.XLOOKUP(C814,customers!$A$1:$A$1001,customers!$I$1:$I$1001,0)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IF(_xlfn.XLOOKUP(C815,customers!$A$1:$A$1001,customers!$C$1:$C$1001,)=0,"",_xlfn.XLOOKUP(C815,customers!$A$1:$A$1001,customers!$C$1:$C$1001,))</f>
        <v>cbrydeml@tuttocitta.it</v>
      </c>
      <c r="H815" s="2" t="str" cm="1">
        <f t="array" ref="H815">_xlfn.XLOOKUP(C815,customers!$A$1:$A$1001,customers!$G$1:$G$1001,customers!A814:H1787)</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7">
        <f t="shared" si="36"/>
        <v>31.624999999999996</v>
      </c>
      <c r="N815" t="str">
        <f t="shared" si="37"/>
        <v>Excelsa</v>
      </c>
      <c r="O815" t="str">
        <f t="shared" si="38"/>
        <v>Medium</v>
      </c>
      <c r="P815" t="str">
        <f>_xlfn.XLOOKUP(C815,customers!$A$1:$A$1001,customers!$I$1:$I$1001,0)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IF(_xlfn.XLOOKUP(C816,customers!$A$1:$A$1001,customers!$C$1:$C$1001,)=0,"",_xlfn.XLOOKUP(C816,customers!$A$1:$A$1001,customers!$C$1:$C$1001,))</f>
        <v>senefermm@blog.com</v>
      </c>
      <c r="H816" s="2" t="str" cm="1">
        <f t="array" ref="H816">_xlfn.XLOOKUP(C816,customers!$A$1:$A$1001,customers!$G$1:$G$1001,customers!A815:H1788)</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7">
        <f t="shared" si="36"/>
        <v>8.91</v>
      </c>
      <c r="N816" t="str">
        <f t="shared" si="37"/>
        <v>Excelsa</v>
      </c>
      <c r="O816" t="str">
        <f t="shared" si="38"/>
        <v>Large</v>
      </c>
      <c r="P816" t="str">
        <f>_xlfn.XLOOKUP(C816,customers!$A$1:$A$1001,customers!$I$1:$I$1001,0)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IF(_xlfn.XLOOKUP(C817,customers!$A$1:$A$1001,customers!$C$1:$C$1001,)=0,"",_xlfn.XLOOKUP(C817,customers!$A$1:$A$1001,customers!$C$1:$C$1001,))</f>
        <v>lhaggerstonemn@independent.co.uk</v>
      </c>
      <c r="H817" s="2" t="str" cm="1">
        <f t="array" ref="H817">_xlfn.XLOOKUP(C817,customers!$A$1:$A$1001,customers!$G$1:$G$1001,customers!A816:H1789)</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7">
        <f t="shared" si="36"/>
        <v>35.82</v>
      </c>
      <c r="N817" t="str">
        <f t="shared" si="37"/>
        <v>Robusta</v>
      </c>
      <c r="O817" t="str">
        <f t="shared" si="38"/>
        <v>Medium</v>
      </c>
      <c r="P817" t="str">
        <f>_xlfn.XLOOKUP(C817,customers!$A$1:$A$1001,customers!$I$1:$I$1001,0)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IF(_xlfn.XLOOKUP(C818,customers!$A$1:$A$1001,customers!$C$1:$C$1001,)=0,"",_xlfn.XLOOKUP(C818,customers!$A$1:$A$1001,customers!$C$1:$C$1001,))</f>
        <v>mgundrymo@omniture.com</v>
      </c>
      <c r="H818" s="2" t="str" cm="1">
        <f t="array" ref="H818">_xlfn.XLOOKUP(C818,customers!$A$1:$A$1001,customers!$G$1:$G$1001,customers!A817:H1790)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7">
        <f t="shared" si="36"/>
        <v>38.04</v>
      </c>
      <c r="N818" t="str">
        <f t="shared" si="37"/>
        <v>Librica</v>
      </c>
      <c r="O818" t="str">
        <f t="shared" si="38"/>
        <v>Large</v>
      </c>
      <c r="P818" t="str">
        <f>_xlfn.XLOOKUP(C818,customers!$A$1:$A$1001,customers!$I$1:$I$1001,0)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IF(_xlfn.XLOOKUP(C819,customers!$A$1:$A$1001,customers!$C$1:$C$1001,)=0,"",_xlfn.XLOOKUP(C819,customers!$A$1:$A$1001,customers!$C$1:$C$1001,))</f>
        <v>bwellanmp@cafepress.com</v>
      </c>
      <c r="H819" s="2" t="str" cm="1">
        <f t="array" ref="H819">_xlfn.XLOOKUP(C819,customers!$A$1:$A$1001,customers!$G$1:$G$1001,customers!A818:H1791)</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7">
        <f t="shared" si="36"/>
        <v>15.54</v>
      </c>
      <c r="N819" t="str">
        <f t="shared" si="37"/>
        <v>Librica</v>
      </c>
      <c r="O819" t="str">
        <f t="shared" si="38"/>
        <v>Dark</v>
      </c>
      <c r="P819" t="str">
        <f>_xlfn.XLOOKUP(C819,customers!$A$1:$A$1001,customers!$I$1:$I$1001,0)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IF(_xlfn.XLOOKUP(C820,customers!$A$1:$A$1001,customers!$C$1:$C$1001,)=0,"",_xlfn.XLOOKUP(C820,customers!$A$1:$A$1001,customers!$C$1:$C$1001,))</f>
        <v/>
      </c>
      <c r="H820" s="2" t="str" cm="1">
        <f t="array" ref="H820">_xlfn.XLOOKUP(C820,customers!$A$1:$A$1001,customers!$G$1:$G$1001,customers!A819:H1792)</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7">
        <f t="shared" si="36"/>
        <v>79.25</v>
      </c>
      <c r="N820" t="str">
        <f t="shared" si="37"/>
        <v>Librica</v>
      </c>
      <c r="O820" t="str">
        <f t="shared" si="38"/>
        <v>Large</v>
      </c>
      <c r="P820" t="str">
        <f>_xlfn.XLOOKUP(C820,customers!$A$1:$A$1001,customers!$I$1:$I$1001,0)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IF(_xlfn.XLOOKUP(C821,customers!$A$1:$A$1001,customers!$C$1:$C$1001,)=0,"",_xlfn.XLOOKUP(C821,customers!$A$1:$A$1001,customers!$C$1:$C$1001,))</f>
        <v>catchesonmr@xinhuanet.com</v>
      </c>
      <c r="H821" s="2" t="str" cm="1">
        <f t="array" ref="H821">_xlfn.XLOOKUP(C821,customers!$A$1:$A$1001,customers!$G$1:$G$1001,customers!A820:H1793)</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7">
        <f t="shared" si="36"/>
        <v>4.7549999999999999</v>
      </c>
      <c r="N821" t="str">
        <f t="shared" si="37"/>
        <v>Librica</v>
      </c>
      <c r="O821" t="str">
        <f t="shared" si="38"/>
        <v>Large</v>
      </c>
      <c r="P821" t="str">
        <f>_xlfn.XLOOKUP(C821,customers!$A$1:$A$1001,customers!$I$1:$I$1001,0)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IF(_xlfn.XLOOKUP(C822,customers!$A$1:$A$1001,customers!$C$1:$C$1001,)=0,"",_xlfn.XLOOKUP(C822,customers!$A$1:$A$1001,customers!$C$1:$C$1001,))</f>
        <v>estentonms@google.it</v>
      </c>
      <c r="H822" s="2" t="str" cm="1">
        <f t="array" ref="H822">_xlfn.XLOOKUP(C822,customers!$A$1:$A$1001,customers!$G$1:$G$1001,customers!A821:H1794)</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7">
        <f t="shared" si="36"/>
        <v>55</v>
      </c>
      <c r="N822" t="str">
        <f t="shared" si="37"/>
        <v>Excelsa</v>
      </c>
      <c r="O822" t="str">
        <f t="shared" si="38"/>
        <v>Medium</v>
      </c>
      <c r="P822" t="str">
        <f>_xlfn.XLOOKUP(C822,customers!$A$1:$A$1001,customers!$I$1:$I$1001,0)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IF(_xlfn.XLOOKUP(C823,customers!$A$1:$A$1001,customers!$C$1:$C$1001,)=0,"",_xlfn.XLOOKUP(C823,customers!$A$1:$A$1001,customers!$C$1:$C$1001,))</f>
        <v>etrippmt@wp.com</v>
      </c>
      <c r="H823" s="2" t="str" cm="1">
        <f t="array" ref="H823">_xlfn.XLOOKUP(C823,customers!$A$1:$A$1001,customers!$G$1:$G$1001,customers!A822:H1795)</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7">
        <f t="shared" si="36"/>
        <v>26.849999999999994</v>
      </c>
      <c r="N823" t="str">
        <f t="shared" si="37"/>
        <v>Robusta</v>
      </c>
      <c r="O823" t="str">
        <f t="shared" si="38"/>
        <v>Dark</v>
      </c>
      <c r="P823" t="str">
        <f>_xlfn.XLOOKUP(C823,customers!$A$1:$A$1001,customers!$I$1:$I$1001,0)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IF(_xlfn.XLOOKUP(C824,customers!$A$1:$A$1001,customers!$C$1:$C$1001,)=0,"",_xlfn.XLOOKUP(C824,customers!$A$1:$A$1001,customers!$C$1:$C$1001,))</f>
        <v>lmacmanusmu@imdb.com</v>
      </c>
      <c r="H824" s="2" t="str" cm="1">
        <f t="array" ref="H824">_xlfn.XLOOKUP(C824,customers!$A$1:$A$1001,customers!$G$1:$G$1001,customers!A823:H1796)</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7">
        <f t="shared" si="36"/>
        <v>136.61999999999998</v>
      </c>
      <c r="N824" t="str">
        <f t="shared" si="37"/>
        <v>Excelsa</v>
      </c>
      <c r="O824" t="str">
        <f t="shared" si="38"/>
        <v>Large</v>
      </c>
      <c r="P824" t="str">
        <f>_xlfn.XLOOKUP(C824,customers!$A$1:$A$1001,customers!$I$1:$I$1001,0)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IF(_xlfn.XLOOKUP(C825,customers!$A$1:$A$1001,customers!$C$1:$C$1001,)=0,"",_xlfn.XLOOKUP(C825,customers!$A$1:$A$1001,customers!$C$1:$C$1001,))</f>
        <v>tbenediktovichmv@ebay.com</v>
      </c>
      <c r="H825" s="2" t="str" cm="1">
        <f t="array" ref="H825">_xlfn.XLOOKUP(C825,customers!$A$1:$A$1001,customers!$G$1:$G$1001,customers!A824:H1797)</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7">
        <f t="shared" si="36"/>
        <v>47.55</v>
      </c>
      <c r="N825" t="str">
        <f t="shared" si="37"/>
        <v>Librica</v>
      </c>
      <c r="O825" t="str">
        <f t="shared" si="38"/>
        <v>Large</v>
      </c>
      <c r="P825" t="str">
        <f>_xlfn.XLOOKUP(C825,customers!$A$1:$A$1001,customers!$I$1:$I$1001,0)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IF(_xlfn.XLOOKUP(C826,customers!$A$1:$A$1001,customers!$C$1:$C$1001,)=0,"",_xlfn.XLOOKUP(C826,customers!$A$1:$A$1001,customers!$C$1:$C$1001,))</f>
        <v>cbournermw@chronoengine.com</v>
      </c>
      <c r="H826" s="2" t="str" cm="1">
        <f t="array" ref="H826">_xlfn.XLOOKUP(C826,customers!$A$1:$A$1001,customers!$G$1:$G$1001,customers!A825:H1798)</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7">
        <f t="shared" si="36"/>
        <v>16.875</v>
      </c>
      <c r="N826" t="str">
        <f t="shared" si="37"/>
        <v>Arabic</v>
      </c>
      <c r="O826" t="str">
        <f t="shared" si="38"/>
        <v>Medium</v>
      </c>
      <c r="P826" t="str">
        <f>_xlfn.XLOOKUP(C826,customers!$A$1:$A$1001,customers!$I$1:$I$1001,0)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IF(_xlfn.XLOOKUP(C827,customers!$A$1:$A$1001,customers!$C$1:$C$1001,)=0,"",_xlfn.XLOOKUP(C827,customers!$A$1:$A$1001,customers!$C$1:$C$1001,))</f>
        <v>oskermen3@hatena.ne.jp</v>
      </c>
      <c r="H827" s="2" t="str" cm="1">
        <f t="array" ref="H827">_xlfn.XLOOKUP(C827,customers!$A$1:$A$1001,customers!$G$1:$G$1001,customers!A826:H1799)</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7">
        <f t="shared" si="36"/>
        <v>29.849999999999998</v>
      </c>
      <c r="N827" t="str">
        <f t="shared" si="37"/>
        <v>Arabic</v>
      </c>
      <c r="O827" t="str">
        <f t="shared" si="38"/>
        <v>Dark</v>
      </c>
      <c r="P827" t="str">
        <f>_xlfn.XLOOKUP(C827,customers!$A$1:$A$1001,customers!$I$1:$I$1001,0)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IF(_xlfn.XLOOKUP(C828,customers!$A$1:$A$1001,customers!$C$1:$C$1001,)=0,"",_xlfn.XLOOKUP(C828,customers!$A$1:$A$1001,customers!$C$1:$C$1001,))</f>
        <v>kheddanmy@icq.com</v>
      </c>
      <c r="H828" s="2" t="str" cm="1">
        <f t="array" ref="H828">_xlfn.XLOOKUP(C828,customers!$A$1:$A$1001,customers!$G$1:$G$1001,customers!A827:H1800)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7">
        <f t="shared" si="36"/>
        <v>41.25</v>
      </c>
      <c r="N828" t="str">
        <f t="shared" si="37"/>
        <v>Excelsa</v>
      </c>
      <c r="O828" t="str">
        <f t="shared" si="38"/>
        <v>Medium</v>
      </c>
      <c r="P828" t="str">
        <f>_xlfn.XLOOKUP(C828,customers!$A$1:$A$1001,customers!$I$1:$I$1001,0)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IF(_xlfn.XLOOKUP(C829,customers!$A$1:$A$1001,customers!$C$1:$C$1001,)=0,"",_xlfn.XLOOKUP(C829,customers!$A$1:$A$1001,customers!$C$1:$C$1001,))</f>
        <v>ichartersmz@abc.net.au</v>
      </c>
      <c r="H829" s="2" t="str" cm="1">
        <f t="array" ref="H829">_xlfn.XLOOKUP(C829,customers!$A$1:$A$1001,customers!$G$1:$G$1001,customers!A828:H1801)</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7">
        <f t="shared" si="36"/>
        <v>20.625</v>
      </c>
      <c r="N829" t="str">
        <f t="shared" si="37"/>
        <v>Excelsa</v>
      </c>
      <c r="O829" t="str">
        <f t="shared" si="38"/>
        <v>Medium</v>
      </c>
      <c r="P829" t="str">
        <f>_xlfn.XLOOKUP(C829,customers!$A$1:$A$1001,customers!$I$1:$I$1001,0)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IF(_xlfn.XLOOKUP(C830,customers!$A$1:$A$1001,customers!$C$1:$C$1001,)=0,"",_xlfn.XLOOKUP(C830,customers!$A$1:$A$1001,customers!$C$1:$C$1001,))</f>
        <v>aroubertn0@tmall.com</v>
      </c>
      <c r="H830" s="2" t="str" cm="1">
        <f t="array" ref="H830">_xlfn.XLOOKUP(C830,customers!$A$1:$A$1001,customers!$G$1:$G$1001,customers!A829:H1802)</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7">
        <f t="shared" si="36"/>
        <v>137.31</v>
      </c>
      <c r="N830" t="str">
        <f t="shared" si="37"/>
        <v>Arabic</v>
      </c>
      <c r="O830" t="str">
        <f t="shared" si="38"/>
        <v>Dark</v>
      </c>
      <c r="P830" t="str">
        <f>_xlfn.XLOOKUP(C830,customers!$A$1:$A$1001,customers!$I$1:$I$1001,0)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IF(_xlfn.XLOOKUP(C831,customers!$A$1:$A$1001,customers!$C$1:$C$1001,)=0,"",_xlfn.XLOOKUP(C831,customers!$A$1:$A$1001,customers!$C$1:$C$1001,))</f>
        <v>hmairsn1@so-net.ne.jp</v>
      </c>
      <c r="H831" s="2" t="str" cm="1">
        <f t="array" ref="H831">_xlfn.XLOOKUP(C831,customers!$A$1:$A$1001,customers!$G$1:$G$1001,customers!A830:H1803)</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7">
        <f t="shared" si="36"/>
        <v>2.9849999999999999</v>
      </c>
      <c r="N831" t="str">
        <f t="shared" si="37"/>
        <v>Arabic</v>
      </c>
      <c r="O831" t="str">
        <f t="shared" si="38"/>
        <v>Dark</v>
      </c>
      <c r="P831" t="str">
        <f>_xlfn.XLOOKUP(C831,customers!$A$1:$A$1001,customers!$I$1:$I$1001,0)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IF(_xlfn.XLOOKUP(C832,customers!$A$1:$A$1001,customers!$C$1:$C$1001,)=0,"",_xlfn.XLOOKUP(C832,customers!$A$1:$A$1001,customers!$C$1:$C$1001,))</f>
        <v>hrainforthn2@blog.com</v>
      </c>
      <c r="H832" s="2" t="str" cm="1">
        <f t="array" ref="H832">_xlfn.XLOOKUP(C832,customers!$A$1:$A$1001,customers!$G$1:$G$1001,customers!A831:H1804)</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7">
        <f t="shared" si="36"/>
        <v>27.5</v>
      </c>
      <c r="N832" t="str">
        <f t="shared" si="37"/>
        <v>Excelsa</v>
      </c>
      <c r="O832" t="str">
        <f t="shared" si="38"/>
        <v>Medium</v>
      </c>
      <c r="P832" t="str">
        <f>_xlfn.XLOOKUP(C832,customers!$A$1:$A$1001,customers!$I$1:$I$1001,0)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IF(_xlfn.XLOOKUP(C833,customers!$A$1:$A$1001,customers!$C$1:$C$1001,)=0,"",_xlfn.XLOOKUP(C833,customers!$A$1:$A$1001,customers!$C$1:$C$1001,))</f>
        <v>hrainforthn2@blog.com</v>
      </c>
      <c r="H833" s="2" t="str" cm="1">
        <f t="array" ref="H833">_xlfn.XLOOKUP(C833,customers!$A$1:$A$1001,customers!$G$1:$G$1001,customers!A832:H1805)</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7">
        <f t="shared" si="36"/>
        <v>5.97</v>
      </c>
      <c r="N833" t="str">
        <f t="shared" si="37"/>
        <v>Arabic</v>
      </c>
      <c r="O833" t="str">
        <f t="shared" si="38"/>
        <v>Dark</v>
      </c>
      <c r="P833" t="str">
        <f>_xlfn.XLOOKUP(C833,customers!$A$1:$A$1001,customers!$I$1:$I$1001,0)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IF(_xlfn.XLOOKUP(C834,customers!$A$1:$A$1001,customers!$C$1:$C$1001,)=0,"",_xlfn.XLOOKUP(C834,customers!$A$1:$A$1001,customers!$C$1:$C$1001,))</f>
        <v>ijespern4@theglobeandmail.com</v>
      </c>
      <c r="H834" s="2" t="str" cm="1">
        <f t="array" ref="H834">_xlfn.XLOOKUP(C834,customers!$A$1:$A$1001,customers!$G$1:$G$1001,customers!A833:H1806)</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7">
        <f t="shared" si="36"/>
        <v>59.699999999999996</v>
      </c>
      <c r="N834" t="str">
        <f t="shared" si="37"/>
        <v>Robusta</v>
      </c>
      <c r="O834" t="str">
        <f t="shared" si="38"/>
        <v>Medium</v>
      </c>
      <c r="P834" t="str">
        <f>_xlfn.XLOOKUP(C834,customers!$A$1:$A$1001,customers!$I$1:$I$1001,0)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IF(_xlfn.XLOOKUP(C835,customers!$A$1:$A$1001,customers!$C$1:$C$1001,)=0,"",_xlfn.XLOOKUP(C835,customers!$A$1:$A$1001,customers!$C$1:$C$1001,))</f>
        <v>ldwerryhousen5@gravatar.com</v>
      </c>
      <c r="H835" s="2" t="str" cm="1">
        <f t="array" ref="H835">_xlfn.XLOOKUP(C835,customers!$A$1:$A$1001,customers!$G$1:$G$1001,customers!A834:H1807)</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7">
        <f t="shared" ref="M835:M898" si="39">L835*E835</f>
        <v>82.339999999999989</v>
      </c>
      <c r="N835" t="str">
        <f t="shared" ref="N835:N898" si="40">IF(I835="Rob","Robusta",IF(I835="Exc","Excelsa",IF(I835="Ara","Arabic",IF(I835="Lib","Librica"))))</f>
        <v>Robusta</v>
      </c>
      <c r="O835" t="str">
        <f t="shared" ref="O835:O898" si="41">IF(J835="M","Medium",IF(J835="L","Large",IF(J835="D","Dark")))</f>
        <v>Dark</v>
      </c>
      <c r="P835" t="str">
        <f>_xlfn.XLOOKUP(C835,customers!$A$1:$A$1001,customers!$I$1:$I$1001,0)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IF(_xlfn.XLOOKUP(C836,customers!$A$1:$A$1001,customers!$C$1:$C$1001,)=0,"",_xlfn.XLOOKUP(C836,customers!$A$1:$A$1001,customers!$C$1:$C$1001,))</f>
        <v>nbroomern6@examiner.com</v>
      </c>
      <c r="H836" s="2" t="str" cm="1">
        <f t="array" ref="H836">_xlfn.XLOOKUP(C836,customers!$A$1:$A$1001,customers!$G$1:$G$1001,customers!A835:H1808)</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7">
        <f t="shared" si="39"/>
        <v>22.884999999999998</v>
      </c>
      <c r="N836" t="str">
        <f t="shared" si="40"/>
        <v>Arabic</v>
      </c>
      <c r="O836" t="str">
        <f t="shared" si="41"/>
        <v>Dark</v>
      </c>
      <c r="P836" t="str">
        <f>_xlfn.XLOOKUP(C836,customers!$A$1:$A$1001,customers!$I$1:$I$1001,0)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IF(_xlfn.XLOOKUP(C837,customers!$A$1:$A$1001,customers!$C$1:$C$1001,)=0,"",_xlfn.XLOOKUP(C837,customers!$A$1:$A$1001,customers!$C$1:$C$1001,))</f>
        <v>kthoumassonn7@bloglovin.com</v>
      </c>
      <c r="H837" s="2" t="str" cm="1">
        <f t="array" ref="H837">_xlfn.XLOOKUP(C837,customers!$A$1:$A$1001,customers!$G$1:$G$1001,customers!A836:H1809)</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7">
        <f t="shared" si="39"/>
        <v>8.91</v>
      </c>
      <c r="N837" t="str">
        <f t="shared" si="40"/>
        <v>Excelsa</v>
      </c>
      <c r="O837" t="str">
        <f t="shared" si="41"/>
        <v>Large</v>
      </c>
      <c r="P837" t="str">
        <f>_xlfn.XLOOKUP(C837,customers!$A$1:$A$1001,customers!$I$1:$I$1001,0)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IF(_xlfn.XLOOKUP(C838,customers!$A$1:$A$1001,customers!$C$1:$C$1001,)=0,"",_xlfn.XLOOKUP(C838,customers!$A$1:$A$1001,customers!$C$1:$C$1001,))</f>
        <v>fhabberghamn8@discovery.com</v>
      </c>
      <c r="H838" s="2" t="str" cm="1">
        <f t="array" ref="H838">_xlfn.XLOOKUP(C838,customers!$A$1:$A$1001,customers!$G$1:$G$1001,customers!A837:H1810)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7">
        <f t="shared" si="39"/>
        <v>11.94</v>
      </c>
      <c r="N838" t="str">
        <f t="shared" si="40"/>
        <v>Arabic</v>
      </c>
      <c r="O838" t="str">
        <f t="shared" si="41"/>
        <v>Dark</v>
      </c>
      <c r="P838" t="str">
        <f>_xlfn.XLOOKUP(C838,customers!$A$1:$A$1001,customers!$I$1:$I$1001,0)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IF(_xlfn.XLOOKUP(C839,customers!$A$1:$A$1001,customers!$C$1:$C$1001,)=0,"",_xlfn.XLOOKUP(C839,customers!$A$1:$A$1001,customers!$C$1:$C$1001,))</f>
        <v/>
      </c>
      <c r="H839" s="2" t="str" cm="1">
        <f t="array" ref="H839">_xlfn.XLOOKUP(C839,customers!$A$1:$A$1001,customers!$G$1:$G$1001,customers!A838:H1811)</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7">
        <f t="shared" si="39"/>
        <v>100.39499999999998</v>
      </c>
      <c r="N839" t="str">
        <f t="shared" si="40"/>
        <v>Librica</v>
      </c>
      <c r="O839" t="str">
        <f t="shared" si="41"/>
        <v>Medium</v>
      </c>
      <c r="P839" t="str">
        <f>_xlfn.XLOOKUP(C839,customers!$A$1:$A$1001,customers!$I$1:$I$1001,0)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IF(_xlfn.XLOOKUP(C840,customers!$A$1:$A$1001,customers!$C$1:$C$1001,)=0,"",_xlfn.XLOOKUP(C840,customers!$A$1:$A$1001,customers!$C$1:$C$1001,))</f>
        <v>ravrashinna@tamu.edu</v>
      </c>
      <c r="H840" s="2" t="str" cm="1">
        <f t="array" ref="H840">_xlfn.XLOOKUP(C840,customers!$A$1:$A$1001,customers!$G$1:$G$1001,customers!A839:H1812)</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7">
        <f t="shared" si="39"/>
        <v>114.42499999999998</v>
      </c>
      <c r="N840" t="str">
        <f t="shared" si="40"/>
        <v>Arabic</v>
      </c>
      <c r="O840" t="str">
        <f t="shared" si="41"/>
        <v>Dark</v>
      </c>
      <c r="P840" t="str">
        <f>_xlfn.XLOOKUP(C840,customers!$A$1:$A$1001,customers!$I$1:$I$1001,0)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IF(_xlfn.XLOOKUP(C841,customers!$A$1:$A$1001,customers!$C$1:$C$1001,)=0,"",_xlfn.XLOOKUP(C841,customers!$A$1:$A$1001,customers!$C$1:$C$1001,))</f>
        <v>mdoidgenb@etsy.com</v>
      </c>
      <c r="H841" s="2" t="str" cm="1">
        <f t="array" ref="H841">_xlfn.XLOOKUP(C841,customers!$A$1:$A$1001,customers!$G$1:$G$1001,customers!A840:H1813)</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7">
        <f t="shared" si="39"/>
        <v>41.25</v>
      </c>
      <c r="N841" t="str">
        <f t="shared" si="40"/>
        <v>Excelsa</v>
      </c>
      <c r="O841" t="str">
        <f t="shared" si="41"/>
        <v>Medium</v>
      </c>
      <c r="P841" t="str">
        <f>_xlfn.XLOOKUP(C841,customers!$A$1:$A$1001,customers!$I$1:$I$1001,0)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IF(_xlfn.XLOOKUP(C842,customers!$A$1:$A$1001,customers!$C$1:$C$1001,)=0,"",_xlfn.XLOOKUP(C842,customers!$A$1:$A$1001,customers!$C$1:$C$1001,))</f>
        <v>jedinboronc@reverbnation.com</v>
      </c>
      <c r="H842" s="2" t="str" cm="1">
        <f t="array" ref="H842">_xlfn.XLOOKUP(C842,customers!$A$1:$A$1001,customers!$G$1:$G$1001,customers!A841:H1814)</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7">
        <f t="shared" si="39"/>
        <v>28.679999999999996</v>
      </c>
      <c r="N842" t="str">
        <f t="shared" si="40"/>
        <v>Robusta</v>
      </c>
      <c r="O842" t="str">
        <f t="shared" si="41"/>
        <v>Large</v>
      </c>
      <c r="P842" t="str">
        <f>_xlfn.XLOOKUP(C842,customers!$A$1:$A$1001,customers!$I$1:$I$1001,0)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IF(_xlfn.XLOOKUP(C843,customers!$A$1:$A$1001,customers!$C$1:$C$1001,)=0,"",_xlfn.XLOOKUP(C843,customers!$A$1:$A$1001,customers!$C$1:$C$1001,))</f>
        <v>ttewelsonnd@cdbaby.com</v>
      </c>
      <c r="H843" s="2" t="str" cm="1">
        <f t="array" ref="H843">_xlfn.XLOOKUP(C843,customers!$A$1:$A$1001,customers!$G$1:$G$1001,customers!A842:H1815)</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7">
        <f t="shared" si="39"/>
        <v>4.3650000000000002</v>
      </c>
      <c r="N843" t="str">
        <f t="shared" si="40"/>
        <v>Librica</v>
      </c>
      <c r="O843" t="str">
        <f t="shared" si="41"/>
        <v>Medium</v>
      </c>
      <c r="P843" t="str">
        <f>_xlfn.XLOOKUP(C843,customers!$A$1:$A$1001,customers!$I$1:$I$1001,0)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IF(_xlfn.XLOOKUP(C844,customers!$A$1:$A$1001,customers!$C$1:$C$1001,)=0,"",_xlfn.XLOOKUP(C844,customers!$A$1:$A$1001,customers!$C$1:$C$1001,))</f>
        <v>oskermen3@hatena.ne.jp</v>
      </c>
      <c r="H844" s="2" t="str" cm="1">
        <f t="array" ref="H844">_xlfn.XLOOKUP(C844,customers!$A$1:$A$1001,customers!$G$1:$G$1001,customers!A843:H1816)</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7">
        <f t="shared" si="39"/>
        <v>8.25</v>
      </c>
      <c r="N844" t="str">
        <f t="shared" si="40"/>
        <v>Excelsa</v>
      </c>
      <c r="O844" t="str">
        <f t="shared" si="41"/>
        <v>Medium</v>
      </c>
      <c r="P844" t="str">
        <f>_xlfn.XLOOKUP(C844,customers!$A$1:$A$1001,customers!$I$1:$I$1001,0)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IF(_xlfn.XLOOKUP(C845,customers!$A$1:$A$1001,customers!$C$1:$C$1001,)=0,"",_xlfn.XLOOKUP(C845,customers!$A$1:$A$1001,customers!$C$1:$C$1001,))</f>
        <v>ddrewittnf@mapquest.com</v>
      </c>
      <c r="H845" s="2" t="str" cm="1">
        <f t="array" ref="H845">_xlfn.XLOOKUP(C845,customers!$A$1:$A$1001,customers!$G$1:$G$1001,customers!A844:H1817)</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7">
        <f t="shared" si="39"/>
        <v>8.25</v>
      </c>
      <c r="N845" t="str">
        <f t="shared" si="40"/>
        <v>Excelsa</v>
      </c>
      <c r="O845" t="str">
        <f t="shared" si="41"/>
        <v>Medium</v>
      </c>
      <c r="P845" t="str">
        <f>_xlfn.XLOOKUP(C845,customers!$A$1:$A$1001,customers!$I$1:$I$1001,0)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IF(_xlfn.XLOOKUP(C846,customers!$A$1:$A$1001,customers!$C$1:$C$1001,)=0,"",_xlfn.XLOOKUP(C846,customers!$A$1:$A$1001,customers!$C$1:$C$1001,))</f>
        <v>agladhillng@stanford.edu</v>
      </c>
      <c r="H846" s="2" t="str" cm="1">
        <f t="array" ref="H846">_xlfn.XLOOKUP(C846,customers!$A$1:$A$1001,customers!$G$1:$G$1001,customers!A845:H1818)</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7">
        <f t="shared" si="39"/>
        <v>35.82</v>
      </c>
      <c r="N846" t="str">
        <f t="shared" si="40"/>
        <v>Arabic</v>
      </c>
      <c r="O846" t="str">
        <f t="shared" si="41"/>
        <v>Dark</v>
      </c>
      <c r="P846" t="str">
        <f>_xlfn.XLOOKUP(C846,customers!$A$1:$A$1001,customers!$I$1:$I$1001,0)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IF(_xlfn.XLOOKUP(C847,customers!$A$1:$A$1001,customers!$C$1:$C$1001,)=0,"",_xlfn.XLOOKUP(C847,customers!$A$1:$A$1001,customers!$C$1:$C$1001,))</f>
        <v>mlorineznh@whitehouse.gov</v>
      </c>
      <c r="H847" s="2" t="str" cm="1">
        <f t="array" ref="H847">_xlfn.XLOOKUP(C847,customers!$A$1:$A$1001,customers!$G$1:$G$1001,customers!A846:H1819)</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7">
        <f t="shared" si="39"/>
        <v>167.67000000000002</v>
      </c>
      <c r="N847" t="str">
        <f t="shared" si="40"/>
        <v>Excelsa</v>
      </c>
      <c r="O847" t="str">
        <f t="shared" si="41"/>
        <v>Dark</v>
      </c>
      <c r="P847" t="str">
        <f>_xlfn.XLOOKUP(C847,customers!$A$1:$A$1001,customers!$I$1:$I$1001,0)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IF(_xlfn.XLOOKUP(C848,customers!$A$1:$A$1001,customers!$C$1:$C$1001,)=0,"",_xlfn.XLOOKUP(C848,customers!$A$1:$A$1001,customers!$C$1:$C$1001,))</f>
        <v/>
      </c>
      <c r="H848" s="2" t="str" cm="1">
        <f t="array" ref="H848">_xlfn.XLOOKUP(C848,customers!$A$1:$A$1001,customers!$G$1:$G$1001,customers!A847:H1820)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7">
        <f t="shared" si="39"/>
        <v>51.749999999999993</v>
      </c>
      <c r="N848" t="str">
        <f t="shared" si="40"/>
        <v>Arabic</v>
      </c>
      <c r="O848" t="str">
        <f t="shared" si="41"/>
        <v>Medium</v>
      </c>
      <c r="P848" t="str">
        <f>_xlfn.XLOOKUP(C848,customers!$A$1:$A$1001,customers!$I$1:$I$1001,0)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IF(_xlfn.XLOOKUP(C849,customers!$A$1:$A$1001,customers!$C$1:$C$1001,)=0,"",_xlfn.XLOOKUP(C849,customers!$A$1:$A$1001,customers!$C$1:$C$1001,))</f>
        <v>mvannj@wikipedia.org</v>
      </c>
      <c r="H849" s="2" t="str" cm="1">
        <f t="array" ref="H849">_xlfn.XLOOKUP(C849,customers!$A$1:$A$1001,customers!$G$1:$G$1001,customers!A848:H1821)</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7">
        <f t="shared" si="39"/>
        <v>8.9550000000000001</v>
      </c>
      <c r="N849" t="str">
        <f t="shared" si="40"/>
        <v>Arabic</v>
      </c>
      <c r="O849" t="str">
        <f t="shared" si="41"/>
        <v>Dark</v>
      </c>
      <c r="P849" t="str">
        <f>_xlfn.XLOOKUP(C849,customers!$A$1:$A$1001,customers!$I$1:$I$1001,0)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IF(_xlfn.XLOOKUP(C850,customers!$A$1:$A$1001,customers!$C$1:$C$1001,)=0,"",_xlfn.XLOOKUP(C850,customers!$A$1:$A$1001,customers!$C$1:$C$1001,))</f>
        <v/>
      </c>
      <c r="H850" s="2" t="str" cm="1">
        <f t="array" ref="H850">_xlfn.XLOOKUP(C850,customers!$A$1:$A$1001,customers!$G$1:$G$1001,customers!A849:H1822)</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7">
        <f t="shared" si="39"/>
        <v>53.46</v>
      </c>
      <c r="N850" t="str">
        <f t="shared" si="40"/>
        <v>Excelsa</v>
      </c>
      <c r="O850" t="str">
        <f t="shared" si="41"/>
        <v>Large</v>
      </c>
      <c r="P850" t="str">
        <f>_xlfn.XLOOKUP(C850,customers!$A$1:$A$1001,customers!$I$1:$I$1001,0)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IF(_xlfn.XLOOKUP(C851,customers!$A$1:$A$1001,customers!$C$1:$C$1001,)=0,"",_xlfn.XLOOKUP(C851,customers!$A$1:$A$1001,customers!$C$1:$C$1001,))</f>
        <v>jethelstonnl@creativecommons.org</v>
      </c>
      <c r="H851" s="2" t="str" cm="1">
        <f t="array" ref="H851">_xlfn.XLOOKUP(C851,customers!$A$1:$A$1001,customers!$G$1:$G$1001,customers!A850:H1823)</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7">
        <f t="shared" si="39"/>
        <v>23.31</v>
      </c>
      <c r="N851" t="str">
        <f t="shared" si="40"/>
        <v>Arabic</v>
      </c>
      <c r="O851" t="str">
        <f t="shared" si="41"/>
        <v>Large</v>
      </c>
      <c r="P851" t="str">
        <f>_xlfn.XLOOKUP(C851,customers!$A$1:$A$1001,customers!$I$1:$I$1001,0)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IF(_xlfn.XLOOKUP(C852,customers!$A$1:$A$1001,customers!$C$1:$C$1001,)=0,"",_xlfn.XLOOKUP(C852,customers!$A$1:$A$1001,customers!$C$1:$C$1001,))</f>
        <v>jethelstonnl@creativecommons.org</v>
      </c>
      <c r="H852" s="2" t="str" cm="1">
        <f t="array" ref="H852">_xlfn.XLOOKUP(C852,customers!$A$1:$A$1001,customers!$G$1:$G$1001,customers!A851:H1824)</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7">
        <f t="shared" si="39"/>
        <v>6.75</v>
      </c>
      <c r="N852" t="str">
        <f t="shared" si="40"/>
        <v>Arabic</v>
      </c>
      <c r="O852" t="str">
        <f t="shared" si="41"/>
        <v>Medium</v>
      </c>
      <c r="P852" t="str">
        <f>_xlfn.XLOOKUP(C852,customers!$A$1:$A$1001,customers!$I$1:$I$1001,0)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IF(_xlfn.XLOOKUP(C853,customers!$A$1:$A$1001,customers!$C$1:$C$1001,)=0,"",_xlfn.XLOOKUP(C853,customers!$A$1:$A$1001,customers!$C$1:$C$1001,))</f>
        <v>peberznn@woothemes.com</v>
      </c>
      <c r="H853" s="2" t="str" cm="1">
        <f t="array" ref="H853">_xlfn.XLOOKUP(C853,customers!$A$1:$A$1001,customers!$G$1:$G$1001,customers!A852:H1825)</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7">
        <f t="shared" si="39"/>
        <v>7.77</v>
      </c>
      <c r="N853" t="str">
        <f t="shared" si="40"/>
        <v>Librica</v>
      </c>
      <c r="O853" t="str">
        <f t="shared" si="41"/>
        <v>Dark</v>
      </c>
      <c r="P853" t="str">
        <f>_xlfn.XLOOKUP(C853,customers!$A$1:$A$1001,customers!$I$1:$I$1001,0)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IF(_xlfn.XLOOKUP(C854,customers!$A$1:$A$1001,customers!$C$1:$C$1001,)=0,"",_xlfn.XLOOKUP(C854,customers!$A$1:$A$1001,customers!$C$1:$C$1001,))</f>
        <v>bgaishno@altervista.org</v>
      </c>
      <c r="H854" s="2" t="str" cm="1">
        <f t="array" ref="H854">_xlfn.XLOOKUP(C854,customers!$A$1:$A$1001,customers!$G$1:$G$1001,customers!A853:H1826)</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7">
        <f t="shared" si="39"/>
        <v>119.13999999999999</v>
      </c>
      <c r="N854" t="str">
        <f t="shared" si="40"/>
        <v>Librica</v>
      </c>
      <c r="O854" t="str">
        <f t="shared" si="41"/>
        <v>Dark</v>
      </c>
      <c r="P854" t="str">
        <f>_xlfn.XLOOKUP(C854,customers!$A$1:$A$1001,customers!$I$1:$I$1001,0)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IF(_xlfn.XLOOKUP(C855,customers!$A$1:$A$1001,customers!$C$1:$C$1001,)=0,"",_xlfn.XLOOKUP(C855,customers!$A$1:$A$1001,customers!$C$1:$C$1001,))</f>
        <v>ldantonnp@miitbeian.gov.cn</v>
      </c>
      <c r="H855" s="2" t="str" cm="1">
        <f t="array" ref="H855">_xlfn.XLOOKUP(C855,customers!$A$1:$A$1001,customers!$G$1:$G$1001,customers!A854:H1827)</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7">
        <f t="shared" si="39"/>
        <v>19.899999999999999</v>
      </c>
      <c r="N855" t="str">
        <f t="shared" si="40"/>
        <v>Arabic</v>
      </c>
      <c r="O855" t="str">
        <f t="shared" si="41"/>
        <v>Dark</v>
      </c>
      <c r="P855" t="str">
        <f>_xlfn.XLOOKUP(C855,customers!$A$1:$A$1001,customers!$I$1:$I$1001,0)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IF(_xlfn.XLOOKUP(C856,customers!$A$1:$A$1001,customers!$C$1:$C$1001,)=0,"",_xlfn.XLOOKUP(C856,customers!$A$1:$A$1001,customers!$C$1:$C$1001,))</f>
        <v>smorrallnq@answers.com</v>
      </c>
      <c r="H856" s="2" t="str" cm="1">
        <f t="array" ref="H856">_xlfn.XLOOKUP(C856,customers!$A$1:$A$1001,customers!$G$1:$G$1001,customers!A855:H1828)</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7">
        <f t="shared" si="39"/>
        <v>35.849999999999994</v>
      </c>
      <c r="N856" t="str">
        <f t="shared" si="40"/>
        <v>Robusta</v>
      </c>
      <c r="O856" t="str">
        <f t="shared" si="41"/>
        <v>Large</v>
      </c>
      <c r="P856" t="str">
        <f>_xlfn.XLOOKUP(C856,customers!$A$1:$A$1001,customers!$I$1:$I$1001,0)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IF(_xlfn.XLOOKUP(C857,customers!$A$1:$A$1001,customers!$C$1:$C$1001,)=0,"",_xlfn.XLOOKUP(C857,customers!$A$1:$A$1001,customers!$C$1:$C$1001,))</f>
        <v>dcrownshawnr@photobucket.com</v>
      </c>
      <c r="H857" s="2" t="str" cm="1">
        <f t="array" ref="H857">_xlfn.XLOOKUP(C857,customers!$A$1:$A$1001,customers!$G$1:$G$1001,customers!A856:H1829)</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7">
        <f t="shared" si="39"/>
        <v>89.35499999999999</v>
      </c>
      <c r="N857" t="str">
        <f t="shared" si="40"/>
        <v>Librica</v>
      </c>
      <c r="O857" t="str">
        <f t="shared" si="41"/>
        <v>Dark</v>
      </c>
      <c r="P857" t="str">
        <f>_xlfn.XLOOKUP(C857,customers!$A$1:$A$1001,customers!$I$1:$I$1001,0)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IF(_xlfn.XLOOKUP(C858,customers!$A$1:$A$1001,customers!$C$1:$C$1001,)=0,"",_xlfn.XLOOKUP(C858,customers!$A$1:$A$1001,customers!$C$1:$C$1001,))</f>
        <v>oskermen3@hatena.ne.jp</v>
      </c>
      <c r="H858" s="2" t="str" cm="1">
        <f t="array" ref="H858">_xlfn.XLOOKUP(C858,customers!$A$1:$A$1001,customers!$G$1:$G$1001,customers!A857:H1830)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7">
        <f t="shared" si="39"/>
        <v>8.73</v>
      </c>
      <c r="N858" t="str">
        <f t="shared" si="40"/>
        <v>Librica</v>
      </c>
      <c r="O858" t="str">
        <f t="shared" si="41"/>
        <v>Medium</v>
      </c>
      <c r="P858" t="str">
        <f>_xlfn.XLOOKUP(C858,customers!$A$1:$A$1001,customers!$I$1:$I$1001,0)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IF(_xlfn.XLOOKUP(C859,customers!$A$1:$A$1001,customers!$C$1:$C$1001,)=0,"",_xlfn.XLOOKUP(C859,customers!$A$1:$A$1001,customers!$C$1:$C$1001,))</f>
        <v>jreddochnt@sun.com</v>
      </c>
      <c r="H859" s="2" t="str" cm="1">
        <f t="array" ref="H859">_xlfn.XLOOKUP(C859,customers!$A$1:$A$1001,customers!$G$1:$G$1001,customers!A858:H1831)</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7">
        <f t="shared" si="39"/>
        <v>137.42499999999998</v>
      </c>
      <c r="N859" t="str">
        <f t="shared" si="40"/>
        <v>Robusta</v>
      </c>
      <c r="O859" t="str">
        <f t="shared" si="41"/>
        <v>Large</v>
      </c>
      <c r="P859" t="str">
        <f>_xlfn.XLOOKUP(C859,customers!$A$1:$A$1001,customers!$I$1:$I$1001,0)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IF(_xlfn.XLOOKUP(C860,customers!$A$1:$A$1001,customers!$C$1:$C$1001,)=0,"",_xlfn.XLOOKUP(C860,customers!$A$1:$A$1001,customers!$C$1:$C$1001,))</f>
        <v>stitleynu@whitehouse.gov</v>
      </c>
      <c r="H860" s="2" t="str" cm="1">
        <f t="array" ref="H860">_xlfn.XLOOKUP(C860,customers!$A$1:$A$1001,customers!$G$1:$G$1001,customers!A859:H1832)</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7">
        <f t="shared" si="39"/>
        <v>34.92</v>
      </c>
      <c r="N860" t="str">
        <f t="shared" si="40"/>
        <v>Librica</v>
      </c>
      <c r="O860" t="str">
        <f t="shared" si="41"/>
        <v>Medium</v>
      </c>
      <c r="P860" t="str">
        <f>_xlfn.XLOOKUP(C860,customers!$A$1:$A$1001,customers!$I$1:$I$1001,0)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IF(_xlfn.XLOOKUP(C861,customers!$A$1:$A$1001,customers!$C$1:$C$1001,)=0,"",_xlfn.XLOOKUP(C861,customers!$A$1:$A$1001,customers!$C$1:$C$1001,))</f>
        <v>rsimaonv@simplemachines.org</v>
      </c>
      <c r="H861" s="2" t="str" cm="1">
        <f t="array" ref="H861">_xlfn.XLOOKUP(C861,customers!$A$1:$A$1001,customers!$G$1:$G$1001,customers!A860:H1833)</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7">
        <f t="shared" si="39"/>
        <v>178.70999999999998</v>
      </c>
      <c r="N861" t="str">
        <f t="shared" si="40"/>
        <v>Arabic</v>
      </c>
      <c r="O861" t="str">
        <f t="shared" si="41"/>
        <v>Large</v>
      </c>
      <c r="P861" t="str">
        <f>_xlfn.XLOOKUP(C861,customers!$A$1:$A$1001,customers!$I$1:$I$1001,0)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IF(_xlfn.XLOOKUP(C862,customers!$A$1:$A$1001,customers!$C$1:$C$1001,)=0,"",_xlfn.XLOOKUP(C862,customers!$A$1:$A$1001,customers!$C$1:$C$1001,))</f>
        <v/>
      </c>
      <c r="H862" s="2" t="str" cm="1">
        <f t="array" ref="H862">_xlfn.XLOOKUP(C862,customers!$A$1:$A$1001,customers!$G$1:$G$1001,customers!A861:H1834)</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7">
        <f t="shared" si="39"/>
        <v>25.874999999999996</v>
      </c>
      <c r="N862" t="str">
        <f t="shared" si="40"/>
        <v>Arabic</v>
      </c>
      <c r="O862" t="str">
        <f t="shared" si="41"/>
        <v>Medium</v>
      </c>
      <c r="P862" t="str">
        <f>_xlfn.XLOOKUP(C862,customers!$A$1:$A$1001,customers!$I$1:$I$1001,0)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IF(_xlfn.XLOOKUP(C863,customers!$A$1:$A$1001,customers!$C$1:$C$1001,)=0,"",_xlfn.XLOOKUP(C863,customers!$A$1:$A$1001,customers!$C$1:$C$1001,))</f>
        <v>nchisholmnx@example.com</v>
      </c>
      <c r="H863" s="2" t="str" cm="1">
        <f t="array" ref="H863">_xlfn.XLOOKUP(C863,customers!$A$1:$A$1001,customers!$G$1:$G$1001,customers!A862:H1835)</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7">
        <f t="shared" si="39"/>
        <v>77.699999999999989</v>
      </c>
      <c r="N863" t="str">
        <f t="shared" si="40"/>
        <v>Librica</v>
      </c>
      <c r="O863" t="str">
        <f t="shared" si="41"/>
        <v>Dark</v>
      </c>
      <c r="P863" t="str">
        <f>_xlfn.XLOOKUP(C863,customers!$A$1:$A$1001,customers!$I$1:$I$1001,0)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IF(_xlfn.XLOOKUP(C864,customers!$A$1:$A$1001,customers!$C$1:$C$1001,)=0,"",_xlfn.XLOOKUP(C864,customers!$A$1:$A$1001,customers!$C$1:$C$1001,))</f>
        <v>goatsny@live.com</v>
      </c>
      <c r="H864" s="2" t="str" cm="1">
        <f t="array" ref="H864">_xlfn.XLOOKUP(C864,customers!$A$1:$A$1001,customers!$G$1:$G$1001,customers!A863:H1836)</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7">
        <f t="shared" si="39"/>
        <v>9.9499999999999993</v>
      </c>
      <c r="N864" t="str">
        <f t="shared" si="40"/>
        <v>Robusta</v>
      </c>
      <c r="O864" t="str">
        <f t="shared" si="41"/>
        <v>Medium</v>
      </c>
      <c r="P864" t="str">
        <f>_xlfn.XLOOKUP(C864,customers!$A$1:$A$1001,customers!$I$1:$I$1001,0)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IF(_xlfn.XLOOKUP(C865,customers!$A$1:$A$1001,customers!$C$1:$C$1001,)=0,"",_xlfn.XLOOKUP(C865,customers!$A$1:$A$1001,customers!$C$1:$C$1001,))</f>
        <v>mbirkinnz@java.com</v>
      </c>
      <c r="H865" s="2" t="str" cm="1">
        <f t="array" ref="H865">_xlfn.XLOOKUP(C865,customers!$A$1:$A$1001,customers!$G$1:$G$1001,customers!A864:H1837)</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7">
        <f t="shared" si="39"/>
        <v>29.1</v>
      </c>
      <c r="N865" t="str">
        <f t="shared" si="40"/>
        <v>Librica</v>
      </c>
      <c r="O865" t="str">
        <f t="shared" si="41"/>
        <v>Medium</v>
      </c>
      <c r="P865" t="str">
        <f>_xlfn.XLOOKUP(C865,customers!$A$1:$A$1001,customers!$I$1:$I$1001,0)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IF(_xlfn.XLOOKUP(C866,customers!$A$1:$A$1001,customers!$C$1:$C$1001,)=0,"",_xlfn.XLOOKUP(C866,customers!$A$1:$A$1001,customers!$C$1:$C$1001,))</f>
        <v>rpysono0@constantcontact.com</v>
      </c>
      <c r="H866" s="2" t="str" cm="1">
        <f t="array" ref="H866">_xlfn.XLOOKUP(C866,customers!$A$1:$A$1001,customers!$G$1:$G$1001,customers!A865:H1838)</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7">
        <f t="shared" si="39"/>
        <v>21.509999999999998</v>
      </c>
      <c r="N866" t="str">
        <f t="shared" si="40"/>
        <v>Robusta</v>
      </c>
      <c r="O866" t="str">
        <f t="shared" si="41"/>
        <v>Large</v>
      </c>
      <c r="P866" t="str">
        <f>_xlfn.XLOOKUP(C866,customers!$A$1:$A$1001,customers!$I$1:$I$1001,0)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IF(_xlfn.XLOOKUP(C867,customers!$A$1:$A$1001,customers!$C$1:$C$1001,)=0,"",_xlfn.XLOOKUP(C867,customers!$A$1:$A$1001,customers!$C$1:$C$1001,))</f>
        <v>mmacconnechieo9@reuters.com</v>
      </c>
      <c r="H867" s="2" t="str" cm="1">
        <f t="array" ref="H867">_xlfn.XLOOKUP(C867,customers!$A$1:$A$1001,customers!$G$1:$G$1001,customers!A866:H1839)</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7">
        <f t="shared" si="39"/>
        <v>6.75</v>
      </c>
      <c r="N867" t="str">
        <f t="shared" si="40"/>
        <v>Arabic</v>
      </c>
      <c r="O867" t="str">
        <f t="shared" si="41"/>
        <v>Medium</v>
      </c>
      <c r="P867" t="str">
        <f>_xlfn.XLOOKUP(C867,customers!$A$1:$A$1001,customers!$I$1:$I$1001,0)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IF(_xlfn.XLOOKUP(C868,customers!$A$1:$A$1001,customers!$C$1:$C$1001,)=0,"",_xlfn.XLOOKUP(C868,customers!$A$1:$A$1001,customers!$C$1:$C$1001,))</f>
        <v>rtreachero2@usa.gov</v>
      </c>
      <c r="H868" s="2" t="str" cm="1">
        <f t="array" ref="H868">_xlfn.XLOOKUP(C868,customers!$A$1:$A$1001,customers!$G$1:$G$1001,customers!A867:H1840)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7">
        <f t="shared" si="39"/>
        <v>17.91</v>
      </c>
      <c r="N868" t="str">
        <f t="shared" si="40"/>
        <v>Arabic</v>
      </c>
      <c r="O868" t="str">
        <f t="shared" si="41"/>
        <v>Dark</v>
      </c>
      <c r="P868" t="str">
        <f>_xlfn.XLOOKUP(C868,customers!$A$1:$A$1001,customers!$I$1:$I$1001,0)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IF(_xlfn.XLOOKUP(C869,customers!$A$1:$A$1001,customers!$C$1:$C$1001,)=0,"",_xlfn.XLOOKUP(C869,customers!$A$1:$A$1001,customers!$C$1:$C$1001,))</f>
        <v>bfattorinio3@quantcast.com</v>
      </c>
      <c r="H869" s="2" t="str" cm="1">
        <f t="array" ref="H869">_xlfn.XLOOKUP(C869,customers!$A$1:$A$1001,customers!$G$1:$G$1001,customers!A868:H1841)</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7">
        <f t="shared" si="39"/>
        <v>29.784999999999997</v>
      </c>
      <c r="N869" t="str">
        <f t="shared" si="40"/>
        <v>Arabic</v>
      </c>
      <c r="O869" t="str">
        <f t="shared" si="41"/>
        <v>Large</v>
      </c>
      <c r="P869" t="str">
        <f>_xlfn.XLOOKUP(C869,customers!$A$1:$A$1001,customers!$I$1:$I$1001,0)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IF(_xlfn.XLOOKUP(C870,customers!$A$1:$A$1001,customers!$C$1:$C$1001,)=0,"",_xlfn.XLOOKUP(C870,customers!$A$1:$A$1001,customers!$C$1:$C$1001,))</f>
        <v>mpalleskeo4@nyu.edu</v>
      </c>
      <c r="H870" s="2" t="str" cm="1">
        <f t="array" ref="H870">_xlfn.XLOOKUP(C870,customers!$A$1:$A$1001,customers!$G$1:$G$1001,customers!A869:H1842)</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7">
        <f t="shared" si="39"/>
        <v>41.25</v>
      </c>
      <c r="N870" t="str">
        <f t="shared" si="40"/>
        <v>Excelsa</v>
      </c>
      <c r="O870" t="str">
        <f t="shared" si="41"/>
        <v>Medium</v>
      </c>
      <c r="P870" t="str">
        <f>_xlfn.XLOOKUP(C870,customers!$A$1:$A$1001,customers!$I$1:$I$1001,0)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IF(_xlfn.XLOOKUP(C871,customers!$A$1:$A$1001,customers!$C$1:$C$1001,)=0,"",_xlfn.XLOOKUP(C871,customers!$A$1:$A$1001,customers!$C$1:$C$1001,))</f>
        <v/>
      </c>
      <c r="H871" s="2" t="str" cm="1">
        <f t="array" ref="H871">_xlfn.XLOOKUP(C871,customers!$A$1:$A$1001,customers!$G$1:$G$1001,customers!A870:H1843)</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7">
        <f t="shared" si="39"/>
        <v>17.91</v>
      </c>
      <c r="N871" t="str">
        <f t="shared" si="40"/>
        <v>Robusta</v>
      </c>
      <c r="O871" t="str">
        <f t="shared" si="41"/>
        <v>Medium</v>
      </c>
      <c r="P871" t="str">
        <f>_xlfn.XLOOKUP(C871,customers!$A$1:$A$1001,customers!$I$1:$I$1001,0)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IF(_xlfn.XLOOKUP(C872,customers!$A$1:$A$1001,customers!$C$1:$C$1001,)=0,"",_xlfn.XLOOKUP(C872,customers!$A$1:$A$1001,customers!$C$1:$C$1001,))</f>
        <v>fantcliffeo6@amazon.co.jp</v>
      </c>
      <c r="H872" s="2" t="str" cm="1">
        <f t="array" ref="H872">_xlfn.XLOOKUP(C872,customers!$A$1:$A$1001,customers!$G$1:$G$1001,customers!A871:H1844)</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7">
        <f t="shared" si="39"/>
        <v>7.29</v>
      </c>
      <c r="N872" t="str">
        <f t="shared" si="40"/>
        <v>Excelsa</v>
      </c>
      <c r="O872" t="str">
        <f t="shared" si="41"/>
        <v>Dark</v>
      </c>
      <c r="P872" t="str">
        <f>_xlfn.XLOOKUP(C872,customers!$A$1:$A$1001,customers!$I$1:$I$1001,0)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IF(_xlfn.XLOOKUP(C873,customers!$A$1:$A$1001,customers!$C$1:$C$1001,)=0,"",_xlfn.XLOOKUP(C873,customers!$A$1:$A$1001,customers!$C$1:$C$1001,))</f>
        <v>pmatignono7@harvard.edu</v>
      </c>
      <c r="H873" s="2" t="str" cm="1">
        <f t="array" ref="H873">_xlfn.XLOOKUP(C873,customers!$A$1:$A$1001,customers!$G$1:$G$1001,customers!A872:H1845)</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7">
        <f t="shared" si="39"/>
        <v>29.7</v>
      </c>
      <c r="N873" t="str">
        <f t="shared" si="40"/>
        <v>Excelsa</v>
      </c>
      <c r="O873" t="str">
        <f t="shared" si="41"/>
        <v>Large</v>
      </c>
      <c r="P873" t="str">
        <f>_xlfn.XLOOKUP(C873,customers!$A$1:$A$1001,customers!$I$1:$I$1001,0)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IF(_xlfn.XLOOKUP(C874,customers!$A$1:$A$1001,customers!$C$1:$C$1001,)=0,"",_xlfn.XLOOKUP(C874,customers!$A$1:$A$1001,customers!$C$1:$C$1001,))</f>
        <v>cweondo8@theglobeandmail.com</v>
      </c>
      <c r="H874" s="2" t="str" cm="1">
        <f t="array" ref="H874">_xlfn.XLOOKUP(C874,customers!$A$1:$A$1001,customers!$G$1:$G$1001,customers!A873:H1846)</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7">
        <f t="shared" si="39"/>
        <v>22.5</v>
      </c>
      <c r="N874" t="str">
        <f t="shared" si="40"/>
        <v>Arabic</v>
      </c>
      <c r="O874" t="str">
        <f t="shared" si="41"/>
        <v>Medium</v>
      </c>
      <c r="P874" t="str">
        <f>_xlfn.XLOOKUP(C874,customers!$A$1:$A$1001,customers!$I$1:$I$1001,0)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IF(_xlfn.XLOOKUP(C875,customers!$A$1:$A$1001,customers!$C$1:$C$1001,)=0,"",_xlfn.XLOOKUP(C875,customers!$A$1:$A$1001,customers!$C$1:$C$1001,))</f>
        <v>mmacconnechieo9@reuters.com</v>
      </c>
      <c r="H875" s="2" t="str" cm="1">
        <f t="array" ref="H875">_xlfn.XLOOKUP(C875,customers!$A$1:$A$1001,customers!$G$1:$G$1001,customers!A874:H1847)</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7">
        <f t="shared" si="39"/>
        <v>11.94</v>
      </c>
      <c r="N875" t="str">
        <f t="shared" si="40"/>
        <v>Robusta</v>
      </c>
      <c r="O875" t="str">
        <f t="shared" si="41"/>
        <v>Medium</v>
      </c>
      <c r="P875" t="str">
        <f>_xlfn.XLOOKUP(C875,customers!$A$1:$A$1001,customers!$I$1:$I$1001,0)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IF(_xlfn.XLOOKUP(C876,customers!$A$1:$A$1001,customers!$C$1:$C$1001,)=0,"",_xlfn.XLOOKUP(C876,customers!$A$1:$A$1001,customers!$C$1:$C$1001,))</f>
        <v>jskentelberyoa@paypal.com</v>
      </c>
      <c r="H876" s="2" t="str" cm="1">
        <f t="array" ref="H876">_xlfn.XLOOKUP(C876,customers!$A$1:$A$1001,customers!$G$1:$G$1001,customers!A875:H1848)</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7">
        <f t="shared" si="39"/>
        <v>25.9</v>
      </c>
      <c r="N876" t="str">
        <f t="shared" si="40"/>
        <v>Arabic</v>
      </c>
      <c r="O876" t="str">
        <f t="shared" si="41"/>
        <v>Large</v>
      </c>
      <c r="P876" t="str">
        <f>_xlfn.XLOOKUP(C876,customers!$A$1:$A$1001,customers!$I$1:$I$1001,0)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IF(_xlfn.XLOOKUP(C877,customers!$A$1:$A$1001,customers!$C$1:$C$1001,)=0,"",_xlfn.XLOOKUP(C877,customers!$A$1:$A$1001,customers!$C$1:$C$1001,))</f>
        <v>ocomberob@goo.gl</v>
      </c>
      <c r="H877" s="2" t="str" cm="1">
        <f t="array" ref="H877">_xlfn.XLOOKUP(C877,customers!$A$1:$A$1001,customers!$G$1:$G$1001,customers!A876:H1849)</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7">
        <f t="shared" si="39"/>
        <v>43.650000000000006</v>
      </c>
      <c r="N877" t="str">
        <f t="shared" si="40"/>
        <v>Librica</v>
      </c>
      <c r="O877" t="str">
        <f t="shared" si="41"/>
        <v>Medium</v>
      </c>
      <c r="P877" t="str">
        <f>_xlfn.XLOOKUP(C877,customers!$A$1:$A$1001,customers!$I$1:$I$1001,0)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IF(_xlfn.XLOOKUP(C878,customers!$A$1:$A$1001,customers!$C$1:$C$1001,)=0,"",_xlfn.XLOOKUP(C878,customers!$A$1:$A$1001,customers!$C$1:$C$1001,))</f>
        <v>ocomberob@goo.gl</v>
      </c>
      <c r="H878" s="2" t="str" cm="1">
        <f t="array" ref="H878">_xlfn.XLOOKUP(C878,customers!$A$1:$A$1001,customers!$G$1:$G$1001,customers!A877:H1850)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7">
        <f t="shared" si="39"/>
        <v>46.62</v>
      </c>
      <c r="N878" t="str">
        <f t="shared" si="40"/>
        <v>Arabic</v>
      </c>
      <c r="O878" t="str">
        <f t="shared" si="41"/>
        <v>Large</v>
      </c>
      <c r="P878" t="str">
        <f>_xlfn.XLOOKUP(C878,customers!$A$1:$A$1001,customers!$I$1:$I$1001,0)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IF(_xlfn.XLOOKUP(C879,customers!$A$1:$A$1001,customers!$C$1:$C$1001,)=0,"",_xlfn.XLOOKUP(C879,customers!$A$1:$A$1001,customers!$C$1:$C$1001,))</f>
        <v>ztramelod@netlog.com</v>
      </c>
      <c r="H879" s="2" t="str" cm="1">
        <f t="array" ref="H879">_xlfn.XLOOKUP(C879,customers!$A$1:$A$1001,customers!$G$1:$G$1001,customers!A878:H1851)</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7">
        <f t="shared" si="39"/>
        <v>28.53</v>
      </c>
      <c r="N879" t="str">
        <f t="shared" si="40"/>
        <v>Librica</v>
      </c>
      <c r="O879" t="str">
        <f t="shared" si="41"/>
        <v>Large</v>
      </c>
      <c r="P879" t="str">
        <f>_xlfn.XLOOKUP(C879,customers!$A$1:$A$1001,customers!$I$1:$I$1001,0)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IF(_xlfn.XLOOKUP(C880,customers!$A$1:$A$1001,customers!$C$1:$C$1001,)=0,"",_xlfn.XLOOKUP(C880,customers!$A$1:$A$1001,customers!$C$1:$C$1001,))</f>
        <v/>
      </c>
      <c r="H880" s="2" t="str" cm="1">
        <f t="array" ref="H880">_xlfn.XLOOKUP(C880,customers!$A$1:$A$1001,customers!$G$1:$G$1001,customers!A879:H1852)</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7">
        <f t="shared" si="39"/>
        <v>27.484999999999996</v>
      </c>
      <c r="N880" t="str">
        <f t="shared" si="40"/>
        <v>Robusta</v>
      </c>
      <c r="O880" t="str">
        <f t="shared" si="41"/>
        <v>Large</v>
      </c>
      <c r="P880" t="str">
        <f>_xlfn.XLOOKUP(C880,customers!$A$1:$A$1001,customers!$I$1:$I$1001,0)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IF(_xlfn.XLOOKUP(C881,customers!$A$1:$A$1001,customers!$C$1:$C$1001,)=0,"",_xlfn.XLOOKUP(C881,customers!$A$1:$A$1001,customers!$C$1:$C$1001,))</f>
        <v/>
      </c>
      <c r="H881" s="2" t="str" cm="1">
        <f t="array" ref="H881">_xlfn.XLOOKUP(C881,customers!$A$1:$A$1001,customers!$G$1:$G$1001,customers!A880:H1853)</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7">
        <f t="shared" si="39"/>
        <v>10.935</v>
      </c>
      <c r="N881" t="str">
        <f t="shared" si="40"/>
        <v>Excelsa</v>
      </c>
      <c r="O881" t="str">
        <f t="shared" si="41"/>
        <v>Dark</v>
      </c>
      <c r="P881" t="str">
        <f>_xlfn.XLOOKUP(C881,customers!$A$1:$A$1001,customers!$I$1:$I$1001,0)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IF(_xlfn.XLOOKUP(C882,customers!$A$1:$A$1001,customers!$C$1:$C$1001,)=0,"",_xlfn.XLOOKUP(C882,customers!$A$1:$A$1001,customers!$C$1:$C$1001,))</f>
        <v>chatfullog@ebay.com</v>
      </c>
      <c r="H882" s="2" t="str" cm="1">
        <f t="array" ref="H882">_xlfn.XLOOKUP(C882,customers!$A$1:$A$1001,customers!$G$1:$G$1001,customers!A881:H1854)</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7">
        <f t="shared" si="39"/>
        <v>7.169999999999999</v>
      </c>
      <c r="N882" t="str">
        <f t="shared" si="40"/>
        <v>Robusta</v>
      </c>
      <c r="O882" t="str">
        <f t="shared" si="41"/>
        <v>Large</v>
      </c>
      <c r="P882" t="str">
        <f>_xlfn.XLOOKUP(C882,customers!$A$1:$A$1001,customers!$I$1:$I$1001,0)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IF(_xlfn.XLOOKUP(C883,customers!$A$1:$A$1001,customers!$C$1:$C$1001,)=0,"",_xlfn.XLOOKUP(C883,customers!$A$1:$A$1001,customers!$C$1:$C$1001,))</f>
        <v/>
      </c>
      <c r="H883" s="2" t="str" cm="1">
        <f t="array" ref="H883">_xlfn.XLOOKUP(C883,customers!$A$1:$A$1001,customers!$G$1:$G$1001,customers!A882:H1855)</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7">
        <f t="shared" si="39"/>
        <v>23.31</v>
      </c>
      <c r="N883" t="str">
        <f t="shared" si="40"/>
        <v>Arabic</v>
      </c>
      <c r="O883" t="str">
        <f t="shared" si="41"/>
        <v>Large</v>
      </c>
      <c r="P883" t="str">
        <f>_xlfn.XLOOKUP(C883,customers!$A$1:$A$1001,customers!$I$1:$I$1001,0)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IF(_xlfn.XLOOKUP(C884,customers!$A$1:$A$1001,customers!$C$1:$C$1001,)=0,"",_xlfn.XLOOKUP(C884,customers!$A$1:$A$1001,customers!$C$1:$C$1001,))</f>
        <v>kmarrisonoq@dropbox.com</v>
      </c>
      <c r="H884" s="2" t="str" cm="1">
        <f t="array" ref="H884">_xlfn.XLOOKUP(C884,customers!$A$1:$A$1001,customers!$G$1:$G$1001,customers!A883:H1856)</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7">
        <f t="shared" si="39"/>
        <v>114.42499999999998</v>
      </c>
      <c r="N884" t="str">
        <f t="shared" si="40"/>
        <v>Arabic</v>
      </c>
      <c r="O884" t="str">
        <f t="shared" si="41"/>
        <v>Dark</v>
      </c>
      <c r="P884" t="str">
        <f>_xlfn.XLOOKUP(C884,customers!$A$1:$A$1001,customers!$I$1:$I$1001,0)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IF(_xlfn.XLOOKUP(C885,customers!$A$1:$A$1001,customers!$C$1:$C$1001,)=0,"",_xlfn.XLOOKUP(C885,customers!$A$1:$A$1001,customers!$C$1:$C$1001,))</f>
        <v>lagnolooj@pinterest.com</v>
      </c>
      <c r="H885" s="2" t="str" cm="1">
        <f t="array" ref="H885">_xlfn.XLOOKUP(C885,customers!$A$1:$A$1001,customers!$G$1:$G$1001,customers!A884:H1857)</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7">
        <f t="shared" si="39"/>
        <v>77.624999999999986</v>
      </c>
      <c r="N885" t="str">
        <f t="shared" si="40"/>
        <v>Arabic</v>
      </c>
      <c r="O885" t="str">
        <f t="shared" si="41"/>
        <v>Medium</v>
      </c>
      <c r="P885" t="str">
        <f>_xlfn.XLOOKUP(C885,customers!$A$1:$A$1001,customers!$I$1:$I$1001,0)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IF(_xlfn.XLOOKUP(C886,customers!$A$1:$A$1001,customers!$C$1:$C$1001,)=0,"",_xlfn.XLOOKUP(C886,customers!$A$1:$A$1001,customers!$C$1:$C$1001,))</f>
        <v>dkiddyok@fda.gov</v>
      </c>
      <c r="H886" s="2" t="str" cm="1">
        <f t="array" ref="H886">_xlfn.XLOOKUP(C886,customers!$A$1:$A$1001,customers!$G$1:$G$1001,customers!A885:H1858)</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7">
        <f t="shared" si="39"/>
        <v>5.3699999999999992</v>
      </c>
      <c r="N886" t="str">
        <f t="shared" si="40"/>
        <v>Robusta</v>
      </c>
      <c r="O886" t="str">
        <f t="shared" si="41"/>
        <v>Dark</v>
      </c>
      <c r="P886" t="str">
        <f>_xlfn.XLOOKUP(C886,customers!$A$1:$A$1001,customers!$I$1:$I$1001,0)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IF(_xlfn.XLOOKUP(C887,customers!$A$1:$A$1001,customers!$C$1:$C$1001,)=0,"",_xlfn.XLOOKUP(C887,customers!$A$1:$A$1001,customers!$C$1:$C$1001,))</f>
        <v>hpetroulisol@state.tx.us</v>
      </c>
      <c r="H887" s="2" t="str" cm="1">
        <f t="array" ref="H887">_xlfn.XLOOKUP(C887,customers!$A$1:$A$1001,customers!$G$1:$G$1001,customers!A886:H1859)</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7">
        <f t="shared" si="39"/>
        <v>123.50999999999999</v>
      </c>
      <c r="N887" t="str">
        <f t="shared" si="40"/>
        <v>Robusta</v>
      </c>
      <c r="O887" t="str">
        <f t="shared" si="41"/>
        <v>Dark</v>
      </c>
      <c r="P887" t="str">
        <f>_xlfn.XLOOKUP(C887,customers!$A$1:$A$1001,customers!$I$1:$I$1001,0)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IF(_xlfn.XLOOKUP(C888,customers!$A$1:$A$1001,customers!$C$1:$C$1001,)=0,"",_xlfn.XLOOKUP(C888,customers!$A$1:$A$1001,customers!$C$1:$C$1001,))</f>
        <v>mschollom@taobao.com</v>
      </c>
      <c r="H888" s="2" t="str" cm="1">
        <f t="array" ref="H888">_xlfn.XLOOKUP(C888,customers!$A$1:$A$1001,customers!$G$1:$G$1001,customers!A887:H1860)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7">
        <f t="shared" si="39"/>
        <v>17.46</v>
      </c>
      <c r="N888" t="str">
        <f t="shared" si="40"/>
        <v>Librica</v>
      </c>
      <c r="O888" t="str">
        <f t="shared" si="41"/>
        <v>Medium</v>
      </c>
      <c r="P888" t="str">
        <f>_xlfn.XLOOKUP(C888,customers!$A$1:$A$1001,customers!$I$1:$I$1001,0)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IF(_xlfn.XLOOKUP(C889,customers!$A$1:$A$1001,customers!$C$1:$C$1001,)=0,"",_xlfn.XLOOKUP(C889,customers!$A$1:$A$1001,customers!$C$1:$C$1001,))</f>
        <v>kfersonon@g.co</v>
      </c>
      <c r="H889" s="2" t="str" cm="1">
        <f t="array" ref="H889">_xlfn.XLOOKUP(C889,customers!$A$1:$A$1001,customers!$G$1:$G$1001,customers!A888:H1861)</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7">
        <f t="shared" si="39"/>
        <v>13.365</v>
      </c>
      <c r="N889" t="str">
        <f t="shared" si="40"/>
        <v>Excelsa</v>
      </c>
      <c r="O889" t="str">
        <f t="shared" si="41"/>
        <v>Large</v>
      </c>
      <c r="P889" t="str">
        <f>_xlfn.XLOOKUP(C889,customers!$A$1:$A$1001,customers!$I$1:$I$1001,0)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IF(_xlfn.XLOOKUP(C890,customers!$A$1:$A$1001,customers!$C$1:$C$1001,)=0,"",_xlfn.XLOOKUP(C890,customers!$A$1:$A$1001,customers!$C$1:$C$1001,))</f>
        <v>bkellowayoo@omniture.com</v>
      </c>
      <c r="H890" s="2" t="str" cm="1">
        <f t="array" ref="H890">_xlfn.XLOOKUP(C890,customers!$A$1:$A$1001,customers!$G$1:$G$1001,customers!A889:H1862)</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7">
        <f t="shared" si="39"/>
        <v>7.77</v>
      </c>
      <c r="N890" t="str">
        <f t="shared" si="40"/>
        <v>Arabic</v>
      </c>
      <c r="O890" t="str">
        <f t="shared" si="41"/>
        <v>Large</v>
      </c>
      <c r="P890" t="str">
        <f>_xlfn.XLOOKUP(C890,customers!$A$1:$A$1001,customers!$I$1:$I$1001,0)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IF(_xlfn.XLOOKUP(C891,customers!$A$1:$A$1001,customers!$C$1:$C$1001,)=0,"",_xlfn.XLOOKUP(C891,customers!$A$1:$A$1001,customers!$C$1:$C$1001,))</f>
        <v>soliffeop@yellowbook.com</v>
      </c>
      <c r="H891" s="2" t="str" cm="1">
        <f t="array" ref="H891">_xlfn.XLOOKUP(C891,customers!$A$1:$A$1001,customers!$G$1:$G$1001,customers!A890:H1863)</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7">
        <f t="shared" si="39"/>
        <v>2.6849999999999996</v>
      </c>
      <c r="N891" t="str">
        <f t="shared" si="40"/>
        <v>Robusta</v>
      </c>
      <c r="O891" t="str">
        <f t="shared" si="41"/>
        <v>Dark</v>
      </c>
      <c r="P891" t="str">
        <f>_xlfn.XLOOKUP(C891,customers!$A$1:$A$1001,customers!$I$1:$I$1001,0)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IF(_xlfn.XLOOKUP(C892,customers!$A$1:$A$1001,customers!$C$1:$C$1001,)=0,"",_xlfn.XLOOKUP(C892,customers!$A$1:$A$1001,customers!$C$1:$C$1001,))</f>
        <v>kmarrisonoq@dropbox.com</v>
      </c>
      <c r="H892" s="2" t="str" cm="1">
        <f t="array" ref="H892">_xlfn.XLOOKUP(C892,customers!$A$1:$A$1001,customers!$G$1:$G$1001,customers!A891:H1864)</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7">
        <f t="shared" si="39"/>
        <v>20.584999999999997</v>
      </c>
      <c r="N892" t="str">
        <f t="shared" si="40"/>
        <v>Robusta</v>
      </c>
      <c r="O892" t="str">
        <f t="shared" si="41"/>
        <v>Dark</v>
      </c>
      <c r="P892" t="str">
        <f>_xlfn.XLOOKUP(C892,customers!$A$1:$A$1001,customers!$I$1:$I$1001,0)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IF(_xlfn.XLOOKUP(C893,customers!$A$1:$A$1001,customers!$C$1:$C$1001,)=0,"",_xlfn.XLOOKUP(C893,customers!$A$1:$A$1001,customers!$C$1:$C$1001,))</f>
        <v>cdolohuntyor@dailymail.co.uk</v>
      </c>
      <c r="H893" s="2" t="str" cm="1">
        <f t="array" ref="H893">_xlfn.XLOOKUP(C893,customers!$A$1:$A$1001,customers!$G$1:$G$1001,customers!A892:H1865)</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7">
        <f t="shared" si="39"/>
        <v>114.42499999999998</v>
      </c>
      <c r="N893" t="str">
        <f t="shared" si="40"/>
        <v>Arabic</v>
      </c>
      <c r="O893" t="str">
        <f t="shared" si="41"/>
        <v>Dark</v>
      </c>
      <c r="P893" t="str">
        <f>_xlfn.XLOOKUP(C893,customers!$A$1:$A$1001,customers!$I$1:$I$1001,0)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IF(_xlfn.XLOOKUP(C894,customers!$A$1:$A$1001,customers!$C$1:$C$1001,)=0,"",_xlfn.XLOOKUP(C894,customers!$A$1:$A$1001,customers!$C$1:$C$1001,))</f>
        <v>pvasilenkoos@addtoany.com</v>
      </c>
      <c r="H894" s="2" t="str" cm="1">
        <f t="array" ref="H894">_xlfn.XLOOKUP(C894,customers!$A$1:$A$1001,customers!$G$1:$G$1001,customers!A893:H1866)</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7">
        <f t="shared" si="39"/>
        <v>20.625</v>
      </c>
      <c r="N894" t="str">
        <f t="shared" si="40"/>
        <v>Excelsa</v>
      </c>
      <c r="O894" t="str">
        <f t="shared" si="41"/>
        <v>Medium</v>
      </c>
      <c r="P894" t="str">
        <f>_xlfn.XLOOKUP(C894,customers!$A$1:$A$1001,customers!$I$1:$I$1001,0)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IF(_xlfn.XLOOKUP(C895,customers!$A$1:$A$1001,customers!$C$1:$C$1001,)=0,"",_xlfn.XLOOKUP(C895,customers!$A$1:$A$1001,customers!$C$1:$C$1001,))</f>
        <v>rschankelborgot@ameblo.jp</v>
      </c>
      <c r="H895" s="2" t="str" cm="1">
        <f t="array" ref="H895">_xlfn.XLOOKUP(C895,customers!$A$1:$A$1001,customers!$G$1:$G$1001,customers!A894:H1867)</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7">
        <f t="shared" si="39"/>
        <v>57.06</v>
      </c>
      <c r="N895" t="str">
        <f t="shared" si="40"/>
        <v>Librica</v>
      </c>
      <c r="O895" t="str">
        <f t="shared" si="41"/>
        <v>Large</v>
      </c>
      <c r="P895" t="str">
        <f>_xlfn.XLOOKUP(C895,customers!$A$1:$A$1001,customers!$I$1:$I$1001,0)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IF(_xlfn.XLOOKUP(C896,customers!$A$1:$A$1001,customers!$C$1:$C$1001,)=0,"",_xlfn.XLOOKUP(C896,customers!$A$1:$A$1001,customers!$C$1:$C$1001,))</f>
        <v/>
      </c>
      <c r="H896" s="2" t="str" cm="1">
        <f t="array" ref="H896">_xlfn.XLOOKUP(C896,customers!$A$1:$A$1001,customers!$G$1:$G$1001,customers!A895:H1868)</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7">
        <f t="shared" si="39"/>
        <v>82.339999999999989</v>
      </c>
      <c r="N896" t="str">
        <f t="shared" si="40"/>
        <v>Robusta</v>
      </c>
      <c r="O896" t="str">
        <f t="shared" si="41"/>
        <v>Dark</v>
      </c>
      <c r="P896" t="str">
        <f>_xlfn.XLOOKUP(C896,customers!$A$1:$A$1001,customers!$I$1:$I$1001,0)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IF(_xlfn.XLOOKUP(C897,customers!$A$1:$A$1001,customers!$C$1:$C$1001,)=0,"",_xlfn.XLOOKUP(C897,customers!$A$1:$A$1001,customers!$C$1:$C$1001,))</f>
        <v/>
      </c>
      <c r="H897" s="2" t="str" cm="1">
        <f t="array" ref="H897">_xlfn.XLOOKUP(C897,customers!$A$1:$A$1001,customers!$G$1:$G$1001,customers!A896:H1869)</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7">
        <f t="shared" si="39"/>
        <v>158.12499999999997</v>
      </c>
      <c r="N897" t="str">
        <f t="shared" si="40"/>
        <v>Excelsa</v>
      </c>
      <c r="O897" t="str">
        <f t="shared" si="41"/>
        <v>Medium</v>
      </c>
      <c r="P897" t="str">
        <f>_xlfn.XLOOKUP(C897,customers!$A$1:$A$1001,customers!$I$1:$I$1001,0)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IF(_xlfn.XLOOKUP(C898,customers!$A$1:$A$1001,customers!$C$1:$C$1001,)=0,"",_xlfn.XLOOKUP(C898,customers!$A$1:$A$1001,customers!$C$1:$C$1001,))</f>
        <v>bcargenow@geocities.jp</v>
      </c>
      <c r="H898" s="2" t="str" cm="1">
        <f t="array" ref="H898">_xlfn.XLOOKUP(C898,customers!$A$1:$A$1001,customers!$G$1:$G$1001,customers!A897:H1870)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7">
        <f t="shared" si="39"/>
        <v>32.22</v>
      </c>
      <c r="N898" t="str">
        <f t="shared" si="40"/>
        <v>Robusta</v>
      </c>
      <c r="O898" t="str">
        <f t="shared" si="41"/>
        <v>Dark</v>
      </c>
      <c r="P898" t="str">
        <f>_xlfn.XLOOKUP(C898,customers!$A$1:$A$1001,customers!$I$1:$I$1001,0)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IF(_xlfn.XLOOKUP(C899,customers!$A$1:$A$1001,customers!$C$1:$C$1001,)=0,"",_xlfn.XLOOKUP(C899,customers!$A$1:$A$1001,customers!$C$1:$C$1001,))</f>
        <v>rsticklerox@printfriendly.com</v>
      </c>
      <c r="H899" s="2" t="str" cm="1">
        <f t="array" ref="H899">_xlfn.XLOOKUP(C899,customers!$A$1:$A$1001,customers!$G$1:$G$1001,customers!A898:H1871)</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7">
        <f t="shared" ref="M899:M962" si="42">L899*E899</f>
        <v>24.3</v>
      </c>
      <c r="N899" t="str">
        <f t="shared" ref="N899:N962" si="43">IF(I899="Rob","Robusta",IF(I899="Exc","Excelsa",IF(I899="Ara","Arabic",IF(I899="Lib","Librica"))))</f>
        <v>Excelsa</v>
      </c>
      <c r="O899" t="str">
        <f t="shared" ref="O899:O962" si="44">IF(J899="M","Medium",IF(J899="L","Large",IF(J899="D","Dark")))</f>
        <v>Dark</v>
      </c>
      <c r="P899" t="str">
        <f>_xlfn.XLOOKUP(C899,customers!$A$1:$A$1001,customers!$I$1:$I$1001,0)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IF(_xlfn.XLOOKUP(C900,customers!$A$1:$A$1001,customers!$C$1:$C$1001,)=0,"",_xlfn.XLOOKUP(C900,customers!$A$1:$A$1001,customers!$C$1:$C$1001,))</f>
        <v/>
      </c>
      <c r="H900" s="2" t="str" cm="1">
        <f t="array" ref="H900">_xlfn.XLOOKUP(C900,customers!$A$1:$A$1001,customers!$G$1:$G$1001,customers!A899:H1872)</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7">
        <f t="shared" si="42"/>
        <v>35.849999999999994</v>
      </c>
      <c r="N900" t="str">
        <f t="shared" si="43"/>
        <v>Robusta</v>
      </c>
      <c r="O900" t="str">
        <f t="shared" si="44"/>
        <v>Large</v>
      </c>
      <c r="P900" t="str">
        <f>_xlfn.XLOOKUP(C900,customers!$A$1:$A$1001,customers!$I$1:$I$1001,0)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IF(_xlfn.XLOOKUP(C901,customers!$A$1:$A$1001,customers!$C$1:$C$1001,)=0,"",_xlfn.XLOOKUP(C901,customers!$A$1:$A$1001,customers!$C$1:$C$1001,))</f>
        <v/>
      </c>
      <c r="H901" s="2" t="str" cm="1">
        <f t="array" ref="H901">_xlfn.XLOOKUP(C901,customers!$A$1:$A$1001,customers!$G$1:$G$1001,customers!A900:H1873)</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7">
        <f t="shared" si="42"/>
        <v>72.75</v>
      </c>
      <c r="N901" t="str">
        <f t="shared" si="43"/>
        <v>Librica</v>
      </c>
      <c r="O901" t="str">
        <f t="shared" si="44"/>
        <v>Medium</v>
      </c>
      <c r="P901" t="str">
        <f>_xlfn.XLOOKUP(C901,customers!$A$1:$A$1001,customers!$I$1:$I$1001,0)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IF(_xlfn.XLOOKUP(C902,customers!$A$1:$A$1001,customers!$C$1:$C$1001,)=0,"",_xlfn.XLOOKUP(C902,customers!$A$1:$A$1001,customers!$C$1:$C$1001,))</f>
        <v/>
      </c>
      <c r="H902" s="2" t="str" cm="1">
        <f t="array" ref="H902">_xlfn.XLOOKUP(C902,customers!$A$1:$A$1001,customers!$G$1:$G$1001,customers!A901:H1874)</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7">
        <f t="shared" si="42"/>
        <v>47.55</v>
      </c>
      <c r="N902" t="str">
        <f t="shared" si="43"/>
        <v>Librica</v>
      </c>
      <c r="O902" t="str">
        <f t="shared" si="44"/>
        <v>Large</v>
      </c>
      <c r="P902" t="str">
        <f>_xlfn.XLOOKUP(C902,customers!$A$1:$A$1001,customers!$I$1:$I$1001,0)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IF(_xlfn.XLOOKUP(C903,customers!$A$1:$A$1001,customers!$C$1:$C$1001,)=0,"",_xlfn.XLOOKUP(C903,customers!$A$1:$A$1001,customers!$C$1:$C$1001,))</f>
        <v>djevonp1@ibm.com</v>
      </c>
      <c r="H903" s="2" t="str" cm="1">
        <f t="array" ref="H903">_xlfn.XLOOKUP(C903,customers!$A$1:$A$1001,customers!$G$1:$G$1001,customers!A902:H1875)</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7">
        <f t="shared" si="42"/>
        <v>3.5849999999999995</v>
      </c>
      <c r="N903" t="str">
        <f t="shared" si="43"/>
        <v>Robusta</v>
      </c>
      <c r="O903" t="str">
        <f t="shared" si="44"/>
        <v>Large</v>
      </c>
      <c r="P903" t="str">
        <f>_xlfn.XLOOKUP(C903,customers!$A$1:$A$1001,customers!$I$1:$I$1001,0)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IF(_xlfn.XLOOKUP(C904,customers!$A$1:$A$1001,customers!$C$1:$C$1001,)=0,"",_xlfn.XLOOKUP(C904,customers!$A$1:$A$1001,customers!$C$1:$C$1001,))</f>
        <v>hrannerp2@omniture.com</v>
      </c>
      <c r="H904" s="2" t="str" cm="1">
        <f t="array" ref="H904">_xlfn.XLOOKUP(C904,customers!$A$1:$A$1001,customers!$G$1:$G$1001,customers!A903:H1876)</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7">
        <f t="shared" si="42"/>
        <v>158.12499999999997</v>
      </c>
      <c r="N904" t="str">
        <f t="shared" si="43"/>
        <v>Excelsa</v>
      </c>
      <c r="O904" t="str">
        <f t="shared" si="44"/>
        <v>Medium</v>
      </c>
      <c r="P904" t="str">
        <f>_xlfn.XLOOKUP(C904,customers!$A$1:$A$1001,customers!$I$1:$I$1001,0)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IF(_xlfn.XLOOKUP(C905,customers!$A$1:$A$1001,customers!$C$1:$C$1001,)=0,"",_xlfn.XLOOKUP(C905,customers!$A$1:$A$1001,customers!$C$1:$C$1001,))</f>
        <v>bimriep3@addtoany.com</v>
      </c>
      <c r="H905" s="2" t="str" cm="1">
        <f t="array" ref="H905">_xlfn.XLOOKUP(C905,customers!$A$1:$A$1001,customers!$G$1:$G$1001,customers!A904:H1877)</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7">
        <f t="shared" si="42"/>
        <v>17.46</v>
      </c>
      <c r="N905" t="str">
        <f t="shared" si="43"/>
        <v>Librica</v>
      </c>
      <c r="O905" t="str">
        <f t="shared" si="44"/>
        <v>Medium</v>
      </c>
      <c r="P905" t="str">
        <f>_xlfn.XLOOKUP(C905,customers!$A$1:$A$1001,customers!$I$1:$I$1001,0)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IF(_xlfn.XLOOKUP(C906,customers!$A$1:$A$1001,customers!$C$1:$C$1001,)=0,"",_xlfn.XLOOKUP(C906,customers!$A$1:$A$1001,customers!$C$1:$C$1001,))</f>
        <v>dsopperp4@eventbrite.com</v>
      </c>
      <c r="H906" s="2" t="str" cm="1">
        <f t="array" ref="H906">_xlfn.XLOOKUP(C906,customers!$A$1:$A$1001,customers!$G$1:$G$1001,customers!A905:H1878)</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7">
        <f t="shared" si="42"/>
        <v>148.92499999999998</v>
      </c>
      <c r="N906" t="str">
        <f t="shared" si="43"/>
        <v>Arabic</v>
      </c>
      <c r="O906" t="str">
        <f t="shared" si="44"/>
        <v>Large</v>
      </c>
      <c r="P906" t="str">
        <f>_xlfn.XLOOKUP(C906,customers!$A$1:$A$1001,customers!$I$1:$I$1001,0)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IF(_xlfn.XLOOKUP(C907,customers!$A$1:$A$1001,customers!$C$1:$C$1001,)=0,"",_xlfn.XLOOKUP(C907,customers!$A$1:$A$1001,customers!$C$1:$C$1001,))</f>
        <v/>
      </c>
      <c r="H907" s="2" t="str" cm="1">
        <f t="array" ref="H907">_xlfn.XLOOKUP(C907,customers!$A$1:$A$1001,customers!$G$1:$G$1001,customers!A906:H1879)</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7">
        <f t="shared" si="42"/>
        <v>40.5</v>
      </c>
      <c r="N907" t="str">
        <f t="shared" si="43"/>
        <v>Arabic</v>
      </c>
      <c r="O907" t="str">
        <f t="shared" si="44"/>
        <v>Medium</v>
      </c>
      <c r="P907" t="str">
        <f>_xlfn.XLOOKUP(C907,customers!$A$1:$A$1001,customers!$I$1:$I$1001,0)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IF(_xlfn.XLOOKUP(C908,customers!$A$1:$A$1001,customers!$C$1:$C$1001,)=0,"",_xlfn.XLOOKUP(C908,customers!$A$1:$A$1001,customers!$C$1:$C$1001,))</f>
        <v>lledgleyp6@de.vu</v>
      </c>
      <c r="H908" s="2" t="str" cm="1">
        <f t="array" ref="H908">_xlfn.XLOOKUP(C908,customers!$A$1:$A$1001,customers!$G$1:$G$1001,customers!A907:H1880)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7">
        <f t="shared" si="42"/>
        <v>27</v>
      </c>
      <c r="N908" t="str">
        <f t="shared" si="43"/>
        <v>Arabic</v>
      </c>
      <c r="O908" t="str">
        <f t="shared" si="44"/>
        <v>Medium</v>
      </c>
      <c r="P908" t="str">
        <f>_xlfn.XLOOKUP(C908,customers!$A$1:$A$1001,customers!$I$1:$I$1001,0)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IF(_xlfn.XLOOKUP(C909,customers!$A$1:$A$1001,customers!$C$1:$C$1001,)=0,"",_xlfn.XLOOKUP(C909,customers!$A$1:$A$1001,customers!$C$1:$C$1001,))</f>
        <v>tmenaryp7@phoca.cz</v>
      </c>
      <c r="H909" s="2" t="str" cm="1">
        <f t="array" ref="H909">_xlfn.XLOOKUP(C909,customers!$A$1:$A$1001,customers!$G$1:$G$1001,customers!A908:H1881)</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7">
        <f t="shared" si="42"/>
        <v>38.849999999999994</v>
      </c>
      <c r="N909" t="str">
        <f t="shared" si="43"/>
        <v>Librica</v>
      </c>
      <c r="O909" t="str">
        <f t="shared" si="44"/>
        <v>Dark</v>
      </c>
      <c r="P909" t="str">
        <f>_xlfn.XLOOKUP(C909,customers!$A$1:$A$1001,customers!$I$1:$I$1001,0)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IF(_xlfn.XLOOKUP(C910,customers!$A$1:$A$1001,customers!$C$1:$C$1001,)=0,"",_xlfn.XLOOKUP(C910,customers!$A$1:$A$1001,customers!$C$1:$C$1001,))</f>
        <v>gciccottip8@so-net.ne.jp</v>
      </c>
      <c r="H910" s="2" t="str" cm="1">
        <f t="array" ref="H910">_xlfn.XLOOKUP(C910,customers!$A$1:$A$1001,customers!$G$1:$G$1001,customers!A909:H1882)</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7">
        <f t="shared" si="42"/>
        <v>59.75</v>
      </c>
      <c r="N910" t="str">
        <f t="shared" si="43"/>
        <v>Robusta</v>
      </c>
      <c r="O910" t="str">
        <f t="shared" si="44"/>
        <v>Large</v>
      </c>
      <c r="P910" t="str">
        <f>_xlfn.XLOOKUP(C910,customers!$A$1:$A$1001,customers!$I$1:$I$1001,0)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IF(_xlfn.XLOOKUP(C911,customers!$A$1:$A$1001,customers!$C$1:$C$1001,)=0,"",_xlfn.XLOOKUP(C911,customers!$A$1:$A$1001,customers!$C$1:$C$1001,))</f>
        <v/>
      </c>
      <c r="H911" s="2" t="str" cm="1">
        <f t="array" ref="H911">_xlfn.XLOOKUP(C911,customers!$A$1:$A$1001,customers!$G$1:$G$1001,customers!A910:H1883)</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7">
        <f t="shared" si="42"/>
        <v>10.754999999999999</v>
      </c>
      <c r="N911" t="str">
        <f t="shared" si="43"/>
        <v>Robusta</v>
      </c>
      <c r="O911" t="str">
        <f t="shared" si="44"/>
        <v>Large</v>
      </c>
      <c r="P911" t="str">
        <f>_xlfn.XLOOKUP(C911,customers!$A$1:$A$1001,customers!$I$1:$I$1001,0)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IF(_xlfn.XLOOKUP(C912,customers!$A$1:$A$1001,customers!$C$1:$C$1001,)=0,"",_xlfn.XLOOKUP(C912,customers!$A$1:$A$1001,customers!$C$1:$C$1001,))</f>
        <v>wjallinpa@pcworld.com</v>
      </c>
      <c r="H912" s="2" t="str" cm="1">
        <f t="array" ref="H912">_xlfn.XLOOKUP(C912,customers!$A$1:$A$1001,customers!$G$1:$G$1001,customers!A911:H1884)</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7">
        <f t="shared" si="42"/>
        <v>91.539999999999992</v>
      </c>
      <c r="N912" t="str">
        <f t="shared" si="43"/>
        <v>Arabic</v>
      </c>
      <c r="O912" t="str">
        <f t="shared" si="44"/>
        <v>Dark</v>
      </c>
      <c r="P912" t="str">
        <f>_xlfn.XLOOKUP(C912,customers!$A$1:$A$1001,customers!$I$1:$I$1001,0)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IF(_xlfn.XLOOKUP(C913,customers!$A$1:$A$1001,customers!$C$1:$C$1001,)=0,"",_xlfn.XLOOKUP(C913,customers!$A$1:$A$1001,customers!$C$1:$C$1001,))</f>
        <v>mbogeypb@thetimes.co.uk</v>
      </c>
      <c r="H913" s="2" t="str" cm="1">
        <f t="array" ref="H913">_xlfn.XLOOKUP(C913,customers!$A$1:$A$1001,customers!$G$1:$G$1001,customers!A912:H1885)</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7">
        <f t="shared" si="42"/>
        <v>45</v>
      </c>
      <c r="N913" t="str">
        <f t="shared" si="43"/>
        <v>Arabic</v>
      </c>
      <c r="O913" t="str">
        <f t="shared" si="44"/>
        <v>Medium</v>
      </c>
      <c r="P913" t="str">
        <f>_xlfn.XLOOKUP(C913,customers!$A$1:$A$1001,customers!$I$1:$I$1001,0)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IF(_xlfn.XLOOKUP(C914,customers!$A$1:$A$1001,customers!$C$1:$C$1001,)=0,"",_xlfn.XLOOKUP(C914,customers!$A$1:$A$1001,customers!$C$1:$C$1001,))</f>
        <v/>
      </c>
      <c r="H914" s="2" t="str" cm="1">
        <f t="array" ref="H914">_xlfn.XLOOKUP(C914,customers!$A$1:$A$1001,customers!$G$1:$G$1001,customers!A913:H1886)</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7">
        <f t="shared" si="42"/>
        <v>137.31</v>
      </c>
      <c r="N914" t="str">
        <f t="shared" si="43"/>
        <v>Robusta</v>
      </c>
      <c r="O914" t="str">
        <f t="shared" si="44"/>
        <v>Medium</v>
      </c>
      <c r="P914" t="str">
        <f>_xlfn.XLOOKUP(C914,customers!$A$1:$A$1001,customers!$I$1:$I$1001,0)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IF(_xlfn.XLOOKUP(C915,customers!$A$1:$A$1001,customers!$C$1:$C$1001,)=0,"",_xlfn.XLOOKUP(C915,customers!$A$1:$A$1001,customers!$C$1:$C$1001,))</f>
        <v>mcobbledickpd@ucsd.edu</v>
      </c>
      <c r="H915" s="2" t="str" cm="1">
        <f t="array" ref="H915">_xlfn.XLOOKUP(C915,customers!$A$1:$A$1001,customers!$G$1:$G$1001,customers!A914:H1887)</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7">
        <f t="shared" si="42"/>
        <v>6.75</v>
      </c>
      <c r="N915" t="str">
        <f t="shared" si="43"/>
        <v>Arabic</v>
      </c>
      <c r="O915" t="str">
        <f t="shared" si="44"/>
        <v>Medium</v>
      </c>
      <c r="P915" t="str">
        <f>_xlfn.XLOOKUP(C915,customers!$A$1:$A$1001,customers!$I$1:$I$1001,0)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IF(_xlfn.XLOOKUP(C916,customers!$A$1:$A$1001,customers!$C$1:$C$1001,)=0,"",_xlfn.XLOOKUP(C916,customers!$A$1:$A$1001,customers!$C$1:$C$1001,))</f>
        <v>alewrype@whitehouse.gov</v>
      </c>
      <c r="H916" s="2" t="str" cm="1">
        <f t="array" ref="H916">_xlfn.XLOOKUP(C916,customers!$A$1:$A$1001,customers!$G$1:$G$1001,customers!A915:H1888)</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7">
        <f t="shared" si="42"/>
        <v>45</v>
      </c>
      <c r="N916" t="str">
        <f t="shared" si="43"/>
        <v>Arabic</v>
      </c>
      <c r="O916" t="str">
        <f t="shared" si="44"/>
        <v>Medium</v>
      </c>
      <c r="P916" t="str">
        <f>_xlfn.XLOOKUP(C916,customers!$A$1:$A$1001,customers!$I$1:$I$1001,0)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IF(_xlfn.XLOOKUP(C917,customers!$A$1:$A$1001,customers!$C$1:$C$1001,)=0,"",_xlfn.XLOOKUP(C917,customers!$A$1:$A$1001,customers!$C$1:$C$1001,))</f>
        <v>ihesselpf@ox.ac.uk</v>
      </c>
      <c r="H917" s="2" t="str" cm="1">
        <f t="array" ref="H917">_xlfn.XLOOKUP(C917,customers!$A$1:$A$1001,customers!$G$1:$G$1001,customers!A916:H1889)</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7">
        <f t="shared" si="42"/>
        <v>83.835000000000008</v>
      </c>
      <c r="N917" t="str">
        <f t="shared" si="43"/>
        <v>Excelsa</v>
      </c>
      <c r="O917" t="str">
        <f t="shared" si="44"/>
        <v>Dark</v>
      </c>
      <c r="P917" t="str">
        <f>_xlfn.XLOOKUP(C917,customers!$A$1:$A$1001,customers!$I$1:$I$1001,0)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IF(_xlfn.XLOOKUP(C918,customers!$A$1:$A$1001,customers!$C$1:$C$1001,)=0,"",_xlfn.XLOOKUP(C918,customers!$A$1:$A$1001,customers!$C$1:$C$1001,))</f>
        <v/>
      </c>
      <c r="H918" s="2" t="str" cm="1">
        <f t="array" ref="H918">_xlfn.XLOOKUP(C918,customers!$A$1:$A$1001,customers!$G$1:$G$1001,customers!A917:H1890)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7">
        <f t="shared" si="42"/>
        <v>3.645</v>
      </c>
      <c r="N918" t="str">
        <f t="shared" si="43"/>
        <v>Excelsa</v>
      </c>
      <c r="O918" t="str">
        <f t="shared" si="44"/>
        <v>Dark</v>
      </c>
      <c r="P918" t="str">
        <f>_xlfn.XLOOKUP(C918,customers!$A$1:$A$1001,customers!$I$1:$I$1001,0)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IF(_xlfn.XLOOKUP(C919,customers!$A$1:$A$1001,customers!$C$1:$C$1001,)=0,"",_xlfn.XLOOKUP(C919,customers!$A$1:$A$1001,customers!$C$1:$C$1001,))</f>
        <v>csorrellph@amazon.com</v>
      </c>
      <c r="H919" s="2" t="str" cm="1">
        <f t="array" ref="H919">_xlfn.XLOOKUP(C919,customers!$A$1:$A$1001,customers!$G$1:$G$1001,customers!A918:H1891)</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7">
        <f t="shared" si="42"/>
        <v>6.75</v>
      </c>
      <c r="N919" t="str">
        <f t="shared" si="43"/>
        <v>Arabic</v>
      </c>
      <c r="O919" t="str">
        <f t="shared" si="44"/>
        <v>Medium</v>
      </c>
      <c r="P919" t="str">
        <f>_xlfn.XLOOKUP(C919,customers!$A$1:$A$1001,customers!$I$1:$I$1001,0)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IF(_xlfn.XLOOKUP(C920,customers!$A$1:$A$1001,customers!$C$1:$C$1001,)=0,"",_xlfn.XLOOKUP(C920,customers!$A$1:$A$1001,customers!$C$1:$C$1001,))</f>
        <v>csorrellph@amazon.com</v>
      </c>
      <c r="H920" s="2" t="str" cm="1">
        <f t="array" ref="H920">_xlfn.XLOOKUP(C920,customers!$A$1:$A$1001,customers!$G$1:$G$1001,customers!A919:H1892)</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7">
        <f t="shared" si="42"/>
        <v>21.87</v>
      </c>
      <c r="N920" t="str">
        <f t="shared" si="43"/>
        <v>Excelsa</v>
      </c>
      <c r="O920" t="str">
        <f t="shared" si="44"/>
        <v>Dark</v>
      </c>
      <c r="P920" t="str">
        <f>_xlfn.XLOOKUP(C920,customers!$A$1:$A$1001,customers!$I$1:$I$1001,0)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IF(_xlfn.XLOOKUP(C921,customers!$A$1:$A$1001,customers!$C$1:$C$1001,)=0,"",_xlfn.XLOOKUP(C921,customers!$A$1:$A$1001,customers!$C$1:$C$1001,))</f>
        <v>qheavysidepj@unc.edu</v>
      </c>
      <c r="H921" s="2" t="str" cm="1">
        <f t="array" ref="H921">_xlfn.XLOOKUP(C921,customers!$A$1:$A$1001,customers!$G$1:$G$1001,customers!A920:H1893)</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7">
        <f t="shared" si="42"/>
        <v>13.424999999999997</v>
      </c>
      <c r="N921" t="str">
        <f t="shared" si="43"/>
        <v>Robusta</v>
      </c>
      <c r="O921" t="str">
        <f t="shared" si="44"/>
        <v>Dark</v>
      </c>
      <c r="P921" t="str">
        <f>_xlfn.XLOOKUP(C921,customers!$A$1:$A$1001,customers!$I$1:$I$1001,0)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IF(_xlfn.XLOOKUP(C922,customers!$A$1:$A$1001,customers!$C$1:$C$1001,)=0,"",_xlfn.XLOOKUP(C922,customers!$A$1:$A$1001,customers!$C$1:$C$1001,))</f>
        <v>hreuvenpk@whitehouse.gov</v>
      </c>
      <c r="H922" s="2" t="str" cm="1">
        <f t="array" ref="H922">_xlfn.XLOOKUP(C922,customers!$A$1:$A$1001,customers!$G$1:$G$1001,customers!A921:H1894)</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7">
        <f t="shared" si="42"/>
        <v>123.50999999999999</v>
      </c>
      <c r="N922" t="str">
        <f t="shared" si="43"/>
        <v>Robusta</v>
      </c>
      <c r="O922" t="str">
        <f t="shared" si="44"/>
        <v>Dark</v>
      </c>
      <c r="P922" t="str">
        <f>_xlfn.XLOOKUP(C922,customers!$A$1:$A$1001,customers!$I$1:$I$1001,0)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IF(_xlfn.XLOOKUP(C923,customers!$A$1:$A$1001,customers!$C$1:$C$1001,)=0,"",_xlfn.XLOOKUP(C923,customers!$A$1:$A$1001,customers!$C$1:$C$1001,))</f>
        <v>mattwoolpl@nba.com</v>
      </c>
      <c r="H923" s="2" t="str" cm="1">
        <f t="array" ref="H923">_xlfn.XLOOKUP(C923,customers!$A$1:$A$1001,customers!$G$1:$G$1001,customers!A922:H1895)</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7">
        <f t="shared" si="42"/>
        <v>7.77</v>
      </c>
      <c r="N923" t="str">
        <f t="shared" si="43"/>
        <v>Librica</v>
      </c>
      <c r="O923" t="str">
        <f t="shared" si="44"/>
        <v>Dark</v>
      </c>
      <c r="P923" t="str">
        <f>_xlfn.XLOOKUP(C923,customers!$A$1:$A$1001,customers!$I$1:$I$1001,0)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IF(_xlfn.XLOOKUP(C924,customers!$A$1:$A$1001,customers!$C$1:$C$1001,)=0,"",_xlfn.XLOOKUP(C924,customers!$A$1:$A$1001,customers!$C$1:$C$1001,))</f>
        <v/>
      </c>
      <c r="H924" s="2" t="str" cm="1">
        <f t="array" ref="H924">_xlfn.XLOOKUP(C924,customers!$A$1:$A$1001,customers!$G$1:$G$1001,customers!A923:H1896)</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7">
        <f t="shared" si="42"/>
        <v>67.5</v>
      </c>
      <c r="N924" t="str">
        <f t="shared" si="43"/>
        <v>Arabic</v>
      </c>
      <c r="O924" t="str">
        <f t="shared" si="44"/>
        <v>Medium</v>
      </c>
      <c r="P924" t="str">
        <f>_xlfn.XLOOKUP(C924,customers!$A$1:$A$1001,customers!$I$1:$I$1001,0)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IF(_xlfn.XLOOKUP(C925,customers!$A$1:$A$1001,customers!$C$1:$C$1001,)=0,"",_xlfn.XLOOKUP(C925,customers!$A$1:$A$1001,customers!$C$1:$C$1001,))</f>
        <v>gwynespn@dagondesign.com</v>
      </c>
      <c r="H925" s="2" t="str" cm="1">
        <f t="array" ref="H925">_xlfn.XLOOKUP(C925,customers!$A$1:$A$1001,customers!$G$1:$G$1001,customers!A924:H1897)</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7">
        <f t="shared" si="42"/>
        <v>27.945</v>
      </c>
      <c r="N925" t="str">
        <f t="shared" si="43"/>
        <v>Excelsa</v>
      </c>
      <c r="O925" t="str">
        <f t="shared" si="44"/>
        <v>Dark</v>
      </c>
      <c r="P925" t="str">
        <f>_xlfn.XLOOKUP(C925,customers!$A$1:$A$1001,customers!$I$1:$I$1001,0)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IF(_xlfn.XLOOKUP(C926,customers!$A$1:$A$1001,customers!$C$1:$C$1001,)=0,"",_xlfn.XLOOKUP(C926,customers!$A$1:$A$1001,customers!$C$1:$C$1001,))</f>
        <v>cmaccourtpo@amazon.com</v>
      </c>
      <c r="H926" s="2" t="str" cm="1">
        <f t="array" ref="H926">_xlfn.XLOOKUP(C926,customers!$A$1:$A$1001,customers!$G$1:$G$1001,customers!A925:H1898)</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7">
        <f t="shared" si="42"/>
        <v>89.35499999999999</v>
      </c>
      <c r="N926" t="str">
        <f t="shared" si="43"/>
        <v>Arabic</v>
      </c>
      <c r="O926" t="str">
        <f t="shared" si="44"/>
        <v>Large</v>
      </c>
      <c r="P926" t="str">
        <f>_xlfn.XLOOKUP(C926,customers!$A$1:$A$1001,customers!$I$1:$I$1001,0)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IF(_xlfn.XLOOKUP(C927,customers!$A$1:$A$1001,customers!$C$1:$C$1001,)=0,"",_xlfn.XLOOKUP(C927,customers!$A$1:$A$1001,customers!$C$1:$C$1001,))</f>
        <v/>
      </c>
      <c r="H927" s="2" t="str" cm="1">
        <f t="array" ref="H927">_xlfn.XLOOKUP(C927,customers!$A$1:$A$1001,customers!$G$1:$G$1001,customers!A926:H1899)</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7">
        <f t="shared" si="42"/>
        <v>20.25</v>
      </c>
      <c r="N927" t="str">
        <f t="shared" si="43"/>
        <v>Arabic</v>
      </c>
      <c r="O927" t="str">
        <f t="shared" si="44"/>
        <v>Medium</v>
      </c>
      <c r="P927" t="str">
        <f>_xlfn.XLOOKUP(C927,customers!$A$1:$A$1001,customers!$I$1:$I$1001,0)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IF(_xlfn.XLOOKUP(C928,customers!$A$1:$A$1001,customers!$C$1:$C$1001,)=0,"",_xlfn.XLOOKUP(C928,customers!$A$1:$A$1001,customers!$C$1:$C$1001,))</f>
        <v>ewilsonepq@eepurl.com</v>
      </c>
      <c r="H928" s="2" t="str" cm="1">
        <f t="array" ref="H928">_xlfn.XLOOKUP(C928,customers!$A$1:$A$1001,customers!$G$1:$G$1001,customers!A927:H1900)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7">
        <f t="shared" si="42"/>
        <v>33.75</v>
      </c>
      <c r="N928" t="str">
        <f t="shared" si="43"/>
        <v>Arabic</v>
      </c>
      <c r="O928" t="str">
        <f t="shared" si="44"/>
        <v>Medium</v>
      </c>
      <c r="P928" t="str">
        <f>_xlfn.XLOOKUP(C928,customers!$A$1:$A$1001,customers!$I$1:$I$1001,0)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IF(_xlfn.XLOOKUP(C929,customers!$A$1:$A$1001,customers!$C$1:$C$1001,)=0,"",_xlfn.XLOOKUP(C929,customers!$A$1:$A$1001,customers!$C$1:$C$1001,))</f>
        <v>dduffiepr@time.com</v>
      </c>
      <c r="H929" s="2" t="str" cm="1">
        <f t="array" ref="H929">_xlfn.XLOOKUP(C929,customers!$A$1:$A$1001,customers!$G$1:$G$1001,customers!A928:H1901)</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7">
        <f t="shared" si="42"/>
        <v>111.78</v>
      </c>
      <c r="N929" t="str">
        <f t="shared" si="43"/>
        <v>Excelsa</v>
      </c>
      <c r="O929" t="str">
        <f t="shared" si="44"/>
        <v>Dark</v>
      </c>
      <c r="P929" t="str">
        <f>_xlfn.XLOOKUP(C929,customers!$A$1:$A$1001,customers!$I$1:$I$1001,0)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IF(_xlfn.XLOOKUP(C930,customers!$A$1:$A$1001,customers!$C$1:$C$1001,)=0,"",_xlfn.XLOOKUP(C930,customers!$A$1:$A$1001,customers!$C$1:$C$1001,))</f>
        <v>mmatiasekps@ucoz.ru</v>
      </c>
      <c r="H930" s="2" t="str" cm="1">
        <f t="array" ref="H930">_xlfn.XLOOKUP(C930,customers!$A$1:$A$1001,customers!$G$1:$G$1001,customers!A929:H1902)</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7">
        <f t="shared" si="42"/>
        <v>63.249999999999993</v>
      </c>
      <c r="N930" t="str">
        <f t="shared" si="43"/>
        <v>Excelsa</v>
      </c>
      <c r="O930" t="str">
        <f t="shared" si="44"/>
        <v>Medium</v>
      </c>
      <c r="P930" t="str">
        <f>_xlfn.XLOOKUP(C930,customers!$A$1:$A$1001,customers!$I$1:$I$1001,0)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IF(_xlfn.XLOOKUP(C931,customers!$A$1:$A$1001,customers!$C$1:$C$1001,)=0,"",_xlfn.XLOOKUP(C931,customers!$A$1:$A$1001,customers!$C$1:$C$1001,))</f>
        <v>jcamillopt@shinystat.com</v>
      </c>
      <c r="H931" s="2" t="str" cm="1">
        <f t="array" ref="H931">_xlfn.XLOOKUP(C931,customers!$A$1:$A$1001,customers!$G$1:$G$1001,customers!A930:H1903)</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7">
        <f t="shared" si="42"/>
        <v>8.91</v>
      </c>
      <c r="N931" t="str">
        <f t="shared" si="43"/>
        <v>Excelsa</v>
      </c>
      <c r="O931" t="str">
        <f t="shared" si="44"/>
        <v>Large</v>
      </c>
      <c r="P931" t="str">
        <f>_xlfn.XLOOKUP(C931,customers!$A$1:$A$1001,customers!$I$1:$I$1001,0)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IF(_xlfn.XLOOKUP(C932,customers!$A$1:$A$1001,customers!$C$1:$C$1001,)=0,"",_xlfn.XLOOKUP(C932,customers!$A$1:$A$1001,customers!$C$1:$C$1001,))</f>
        <v>kphilbrickpu@cdc.gov</v>
      </c>
      <c r="H932" s="2" t="str" cm="1">
        <f t="array" ref="H932">_xlfn.XLOOKUP(C932,customers!$A$1:$A$1001,customers!$G$1:$G$1001,customers!A931:H1904)</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7">
        <f t="shared" si="42"/>
        <v>12.15</v>
      </c>
      <c r="N932" t="str">
        <f t="shared" si="43"/>
        <v>Excelsa</v>
      </c>
      <c r="O932" t="str">
        <f t="shared" si="44"/>
        <v>Dark</v>
      </c>
      <c r="P932" t="str">
        <f>_xlfn.XLOOKUP(C932,customers!$A$1:$A$1001,customers!$I$1:$I$1001,0)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IF(_xlfn.XLOOKUP(C933,customers!$A$1:$A$1001,customers!$C$1:$C$1001,)=0,"",_xlfn.XLOOKUP(C933,customers!$A$1:$A$1001,customers!$C$1:$C$1001,))</f>
        <v/>
      </c>
      <c r="H933" s="2" t="str" cm="1">
        <f t="array" ref="H933">_xlfn.XLOOKUP(C933,customers!$A$1:$A$1001,customers!$G$1:$G$1001,customers!A932:H1905)</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7">
        <f t="shared" si="42"/>
        <v>23.88</v>
      </c>
      <c r="N933" t="str">
        <f t="shared" si="43"/>
        <v>Arabic</v>
      </c>
      <c r="O933" t="str">
        <f t="shared" si="44"/>
        <v>Dark</v>
      </c>
      <c r="P933" t="str">
        <f>_xlfn.XLOOKUP(C933,customers!$A$1:$A$1001,customers!$I$1:$I$1001,0)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IF(_xlfn.XLOOKUP(C934,customers!$A$1:$A$1001,customers!$C$1:$C$1001,)=0,"",_xlfn.XLOOKUP(C934,customers!$A$1:$A$1001,customers!$C$1:$C$1001,))</f>
        <v>bsillispw@istockphoto.com</v>
      </c>
      <c r="H934" s="2" t="str" cm="1">
        <f t="array" ref="H934">_xlfn.XLOOKUP(C934,customers!$A$1:$A$1001,customers!$G$1:$G$1001,customers!A933:H1906)</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7">
        <f t="shared" si="42"/>
        <v>55</v>
      </c>
      <c r="N934" t="str">
        <f t="shared" si="43"/>
        <v>Excelsa</v>
      </c>
      <c r="O934" t="str">
        <f t="shared" si="44"/>
        <v>Medium</v>
      </c>
      <c r="P934" t="str">
        <f>_xlfn.XLOOKUP(C934,customers!$A$1:$A$1001,customers!$I$1:$I$1001,0)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IF(_xlfn.XLOOKUP(C935,customers!$A$1:$A$1001,customers!$C$1:$C$1001,)=0,"",_xlfn.XLOOKUP(C935,customers!$A$1:$A$1001,customers!$C$1:$C$1001,))</f>
        <v/>
      </c>
      <c r="H935" s="2" t="str" cm="1">
        <f t="array" ref="H935">_xlfn.XLOOKUP(C935,customers!$A$1:$A$1001,customers!$G$1:$G$1001,customers!A934:H1907)</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7">
        <f t="shared" si="42"/>
        <v>26.849999999999998</v>
      </c>
      <c r="N935" t="str">
        <f t="shared" si="43"/>
        <v>Robusta</v>
      </c>
      <c r="O935" t="str">
        <f t="shared" si="44"/>
        <v>Dark</v>
      </c>
      <c r="P935" t="str">
        <f>_xlfn.XLOOKUP(C935,customers!$A$1:$A$1001,customers!$I$1:$I$1001,0)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IF(_xlfn.XLOOKUP(C936,customers!$A$1:$A$1001,customers!$C$1:$C$1001,)=0,"",_xlfn.XLOOKUP(C936,customers!$A$1:$A$1001,customers!$C$1:$C$1001,))</f>
        <v>rcuttspy@techcrunch.com</v>
      </c>
      <c r="H936" s="2" t="str" cm="1">
        <f t="array" ref="H936">_xlfn.XLOOKUP(C936,customers!$A$1:$A$1001,customers!$G$1:$G$1001,customers!A935:H1908)</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7">
        <f t="shared" si="42"/>
        <v>114.42499999999998</v>
      </c>
      <c r="N936" t="str">
        <f t="shared" si="43"/>
        <v>Robusta</v>
      </c>
      <c r="O936" t="str">
        <f t="shared" si="44"/>
        <v>Medium</v>
      </c>
      <c r="P936" t="str">
        <f>_xlfn.XLOOKUP(C936,customers!$A$1:$A$1001,customers!$I$1:$I$1001,0)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IF(_xlfn.XLOOKUP(C937,customers!$A$1:$A$1001,customers!$C$1:$C$1001,)=0,"",_xlfn.XLOOKUP(C937,customers!$A$1:$A$1001,customers!$C$1:$C$1001,))</f>
        <v>mdelvespz@nature.com</v>
      </c>
      <c r="H937" s="2" t="str" cm="1">
        <f t="array" ref="H937">_xlfn.XLOOKUP(C937,customers!$A$1:$A$1001,customers!$G$1:$G$1001,customers!A936:H1909)</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7">
        <f t="shared" si="42"/>
        <v>155.24999999999997</v>
      </c>
      <c r="N937" t="str">
        <f t="shared" si="43"/>
        <v>Arabic</v>
      </c>
      <c r="O937" t="str">
        <f t="shared" si="44"/>
        <v>Medium</v>
      </c>
      <c r="P937" t="str">
        <f>_xlfn.XLOOKUP(C937,customers!$A$1:$A$1001,customers!$I$1:$I$1001,0)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IF(_xlfn.XLOOKUP(C938,customers!$A$1:$A$1001,customers!$C$1:$C$1001,)=0,"",_xlfn.XLOOKUP(C938,customers!$A$1:$A$1001,customers!$C$1:$C$1001,))</f>
        <v>dgrittonq0@nydailynews.com</v>
      </c>
      <c r="H938" s="2" t="str" cm="1">
        <f t="array" ref="H938">_xlfn.XLOOKUP(C938,customers!$A$1:$A$1001,customers!$G$1:$G$1001,customers!A937:H1910)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7">
        <f t="shared" si="42"/>
        <v>23.31</v>
      </c>
      <c r="N938" t="str">
        <f t="shared" si="43"/>
        <v>Librica</v>
      </c>
      <c r="O938" t="str">
        <f t="shared" si="44"/>
        <v>Dark</v>
      </c>
      <c r="P938" t="str">
        <f>_xlfn.XLOOKUP(C938,customers!$A$1:$A$1001,customers!$I$1:$I$1001,0)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IF(_xlfn.XLOOKUP(C939,customers!$A$1:$A$1001,customers!$C$1:$C$1001,)=0,"",_xlfn.XLOOKUP(C939,customers!$A$1:$A$1001,customers!$C$1:$C$1001,))</f>
        <v>dgrittonq0@nydailynews.com</v>
      </c>
      <c r="H939" s="2" t="str" cm="1">
        <f t="array" ref="H939">_xlfn.XLOOKUP(C939,customers!$A$1:$A$1001,customers!$G$1:$G$1001,customers!A938:H1911)</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7">
        <f t="shared" si="42"/>
        <v>91.539999999999992</v>
      </c>
      <c r="N939" t="str">
        <f t="shared" si="43"/>
        <v>Robusta</v>
      </c>
      <c r="O939" t="str">
        <f t="shared" si="44"/>
        <v>Medium</v>
      </c>
      <c r="P939" t="str">
        <f>_xlfn.XLOOKUP(C939,customers!$A$1:$A$1001,customers!$I$1:$I$1001,0)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IF(_xlfn.XLOOKUP(C940,customers!$A$1:$A$1001,customers!$C$1:$C$1001,)=0,"",_xlfn.XLOOKUP(C940,customers!$A$1:$A$1001,customers!$C$1:$C$1001,))</f>
        <v>dgutq2@umich.edu</v>
      </c>
      <c r="H940" s="2" t="str" cm="1">
        <f t="array" ref="H940">_xlfn.XLOOKUP(C940,customers!$A$1:$A$1001,customers!$G$1:$G$1001,customers!A939:H1912)</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7">
        <f t="shared" si="42"/>
        <v>74.25</v>
      </c>
      <c r="N940" t="str">
        <f t="shared" si="43"/>
        <v>Excelsa</v>
      </c>
      <c r="O940" t="str">
        <f t="shared" si="44"/>
        <v>Large</v>
      </c>
      <c r="P940" t="str">
        <f>_xlfn.XLOOKUP(C940,customers!$A$1:$A$1001,customers!$I$1:$I$1001,0)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IF(_xlfn.XLOOKUP(C941,customers!$A$1:$A$1001,customers!$C$1:$C$1001,)=0,"",_xlfn.XLOOKUP(C941,customers!$A$1:$A$1001,customers!$C$1:$C$1001,))</f>
        <v>wpummeryq3@topsy.com</v>
      </c>
      <c r="H941" s="2" t="str" cm="1">
        <f t="array" ref="H941">_xlfn.XLOOKUP(C941,customers!$A$1:$A$1001,customers!$G$1:$G$1001,customers!A940:H1913)</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7">
        <f t="shared" si="42"/>
        <v>28.53</v>
      </c>
      <c r="N941" t="str">
        <f t="shared" si="43"/>
        <v>Librica</v>
      </c>
      <c r="O941" t="str">
        <f t="shared" si="44"/>
        <v>Large</v>
      </c>
      <c r="P941" t="str">
        <f>_xlfn.XLOOKUP(C941,customers!$A$1:$A$1001,customers!$I$1:$I$1001,0)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IF(_xlfn.XLOOKUP(C942,customers!$A$1:$A$1001,customers!$C$1:$C$1001,)=0,"",_xlfn.XLOOKUP(C942,customers!$A$1:$A$1001,customers!$C$1:$C$1001,))</f>
        <v>gsiudaq4@nytimes.com</v>
      </c>
      <c r="H942" s="2" t="str" cm="1">
        <f t="array" ref="H942">_xlfn.XLOOKUP(C942,customers!$A$1:$A$1001,customers!$G$1:$G$1001,customers!A941:H1914)</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7">
        <f t="shared" si="42"/>
        <v>14.339999999999998</v>
      </c>
      <c r="N942" t="str">
        <f t="shared" si="43"/>
        <v>Robusta</v>
      </c>
      <c r="O942" t="str">
        <f t="shared" si="44"/>
        <v>Large</v>
      </c>
      <c r="P942" t="str">
        <f>_xlfn.XLOOKUP(C942,customers!$A$1:$A$1001,customers!$I$1:$I$1001,0)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IF(_xlfn.XLOOKUP(C943,customers!$A$1:$A$1001,customers!$C$1:$C$1001,)=0,"",_xlfn.XLOOKUP(C943,customers!$A$1:$A$1001,customers!$C$1:$C$1001,))</f>
        <v>hcrowneq5@wufoo.com</v>
      </c>
      <c r="H943" s="2" t="str" cm="1">
        <f t="array" ref="H943">_xlfn.XLOOKUP(C943,customers!$A$1:$A$1001,customers!$G$1:$G$1001,customers!A942:H1915)</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7">
        <f t="shared" si="42"/>
        <v>15.54</v>
      </c>
      <c r="N943" t="str">
        <f t="shared" si="43"/>
        <v>Arabic</v>
      </c>
      <c r="O943" t="str">
        <f t="shared" si="44"/>
        <v>Large</v>
      </c>
      <c r="P943" t="str">
        <f>_xlfn.XLOOKUP(C943,customers!$A$1:$A$1001,customers!$I$1:$I$1001,0)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IF(_xlfn.XLOOKUP(C944,customers!$A$1:$A$1001,customers!$C$1:$C$1001,)=0,"",_xlfn.XLOOKUP(C944,customers!$A$1:$A$1001,customers!$C$1:$C$1001,))</f>
        <v>vpawseyq6@tiny.cc</v>
      </c>
      <c r="H944" s="2" t="str" cm="1">
        <f t="array" ref="H944">_xlfn.XLOOKUP(C944,customers!$A$1:$A$1001,customers!$G$1:$G$1001,customers!A943:H1916)</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7">
        <f t="shared" si="42"/>
        <v>35.849999999999994</v>
      </c>
      <c r="N944" t="str">
        <f t="shared" si="43"/>
        <v>Robusta</v>
      </c>
      <c r="O944" t="str">
        <f t="shared" si="44"/>
        <v>Large</v>
      </c>
      <c r="P944" t="str">
        <f>_xlfn.XLOOKUP(C944,customers!$A$1:$A$1001,customers!$I$1:$I$1001,0)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IF(_xlfn.XLOOKUP(C945,customers!$A$1:$A$1001,customers!$C$1:$C$1001,)=0,"",_xlfn.XLOOKUP(C945,customers!$A$1:$A$1001,customers!$C$1:$C$1001,))</f>
        <v>awaterhouseq7@istockphoto.com</v>
      </c>
      <c r="H945" s="2" t="str" cm="1">
        <f t="array" ref="H945">_xlfn.XLOOKUP(C945,customers!$A$1:$A$1001,customers!$G$1:$G$1001,customers!A944:H1917)</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7">
        <f t="shared" si="42"/>
        <v>46.62</v>
      </c>
      <c r="N945" t="str">
        <f t="shared" si="43"/>
        <v>Arabic</v>
      </c>
      <c r="O945" t="str">
        <f t="shared" si="44"/>
        <v>Large</v>
      </c>
      <c r="P945" t="str">
        <f>_xlfn.XLOOKUP(C945,customers!$A$1:$A$1001,customers!$I$1:$I$1001,0)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IF(_xlfn.XLOOKUP(C946,customers!$A$1:$A$1001,customers!$C$1:$C$1001,)=0,"",_xlfn.XLOOKUP(C946,customers!$A$1:$A$1001,customers!$C$1:$C$1001,))</f>
        <v>fhaughianq8@1688.com</v>
      </c>
      <c r="H946" s="2" t="str" cm="1">
        <f t="array" ref="H946">_xlfn.XLOOKUP(C946,customers!$A$1:$A$1001,customers!$G$1:$G$1001,customers!A945:H1918)</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7">
        <f t="shared" si="42"/>
        <v>35.849999999999994</v>
      </c>
      <c r="N946" t="str">
        <f t="shared" si="43"/>
        <v>Robusta</v>
      </c>
      <c r="O946" t="str">
        <f t="shared" si="44"/>
        <v>Large</v>
      </c>
      <c r="P946" t="str">
        <f>_xlfn.XLOOKUP(C946,customers!$A$1:$A$1001,customers!$I$1:$I$1001,0)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IF(_xlfn.XLOOKUP(C947,customers!$A$1:$A$1001,customers!$C$1:$C$1001,)=0,"",_xlfn.XLOOKUP(C947,customers!$A$1:$A$1001,customers!$C$1:$C$1001,))</f>
        <v/>
      </c>
      <c r="H947" s="2" t="str" cm="1">
        <f t="array" ref="H947">_xlfn.XLOOKUP(C947,customers!$A$1:$A$1001,customers!$G$1:$G$1001,customers!A946:H1919)</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7">
        <f t="shared" si="42"/>
        <v>119.13999999999999</v>
      </c>
      <c r="N947" t="str">
        <f t="shared" si="43"/>
        <v>Librica</v>
      </c>
      <c r="O947" t="str">
        <f t="shared" si="44"/>
        <v>Dark</v>
      </c>
      <c r="P947" t="str">
        <f>_xlfn.XLOOKUP(C947,customers!$A$1:$A$1001,customers!$I$1:$I$1001,0)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IF(_xlfn.XLOOKUP(C948,customers!$A$1:$A$1001,customers!$C$1:$C$1001,)=0,"",_xlfn.XLOOKUP(C948,customers!$A$1:$A$1001,customers!$C$1:$C$1001,))</f>
        <v/>
      </c>
      <c r="H948" s="2" t="str" cm="1">
        <f t="array" ref="H948">_xlfn.XLOOKUP(C948,customers!$A$1:$A$1001,customers!$G$1:$G$1001,customers!A947:H1920)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7">
        <f t="shared" si="42"/>
        <v>23.31</v>
      </c>
      <c r="N948" t="str">
        <f t="shared" si="43"/>
        <v>Librica</v>
      </c>
      <c r="O948" t="str">
        <f t="shared" si="44"/>
        <v>Dark</v>
      </c>
      <c r="P948" t="str">
        <f>_xlfn.XLOOKUP(C948,customers!$A$1:$A$1001,customers!$I$1:$I$1001,0)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IF(_xlfn.XLOOKUP(C949,customers!$A$1:$A$1001,customers!$C$1:$C$1001,)=0,"",_xlfn.XLOOKUP(C949,customers!$A$1:$A$1001,customers!$C$1:$C$1001,))</f>
        <v>rfaltinqb@topsy.com</v>
      </c>
      <c r="H949" s="2" t="str" cm="1">
        <f t="array" ref="H949">_xlfn.XLOOKUP(C949,customers!$A$1:$A$1001,customers!$G$1:$G$1001,customers!A948:H1921)</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7">
        <f t="shared" si="42"/>
        <v>11.25</v>
      </c>
      <c r="N949" t="str">
        <f t="shared" si="43"/>
        <v>Arabic</v>
      </c>
      <c r="O949" t="str">
        <f t="shared" si="44"/>
        <v>Medium</v>
      </c>
      <c r="P949" t="str">
        <f>_xlfn.XLOOKUP(C949,customers!$A$1:$A$1001,customers!$I$1:$I$1001,0)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IF(_xlfn.XLOOKUP(C950,customers!$A$1:$A$1001,customers!$C$1:$C$1001,)=0,"",_xlfn.XLOOKUP(C950,customers!$A$1:$A$1001,customers!$C$1:$C$1001,))</f>
        <v>gcheekeqc@sitemeter.com</v>
      </c>
      <c r="H950" s="2" t="str" cm="1">
        <f t="array" ref="H950">_xlfn.XLOOKUP(C950,customers!$A$1:$A$1001,customers!$G$1:$G$1001,customers!A949:H1922)</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7">
        <f t="shared" si="42"/>
        <v>83.835000000000008</v>
      </c>
      <c r="N950" t="str">
        <f t="shared" si="43"/>
        <v>Excelsa</v>
      </c>
      <c r="O950" t="str">
        <f t="shared" si="44"/>
        <v>Dark</v>
      </c>
      <c r="P950" t="str">
        <f>_xlfn.XLOOKUP(C950,customers!$A$1:$A$1001,customers!$I$1:$I$1001,0)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IF(_xlfn.XLOOKUP(C951,customers!$A$1:$A$1001,customers!$C$1:$C$1001,)=0,"",_xlfn.XLOOKUP(C951,customers!$A$1:$A$1001,customers!$C$1:$C$1001,))</f>
        <v>grattqd@phpbb.com</v>
      </c>
      <c r="H951" s="2" t="str" cm="1">
        <f t="array" ref="H951">_xlfn.XLOOKUP(C951,customers!$A$1:$A$1001,customers!$G$1:$G$1001,customers!A950:H1923)</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7">
        <f t="shared" si="42"/>
        <v>109.93999999999998</v>
      </c>
      <c r="N951" t="str">
        <f t="shared" si="43"/>
        <v>Robusta</v>
      </c>
      <c r="O951" t="str">
        <f t="shared" si="44"/>
        <v>Large</v>
      </c>
      <c r="P951" t="str">
        <f>_xlfn.XLOOKUP(C951,customers!$A$1:$A$1001,customers!$I$1:$I$1001,0)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IF(_xlfn.XLOOKUP(C952,customers!$A$1:$A$1001,customers!$C$1:$C$1001,)=0,"",_xlfn.XLOOKUP(C952,customers!$A$1:$A$1001,customers!$C$1:$C$1001,))</f>
        <v/>
      </c>
      <c r="H952" s="2" t="str" cm="1">
        <f t="array" ref="H952">_xlfn.XLOOKUP(C952,customers!$A$1:$A$1001,customers!$G$1:$G$1001,customers!A951:H1924)</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7">
        <f t="shared" si="42"/>
        <v>14.339999999999998</v>
      </c>
      <c r="N952" t="str">
        <f t="shared" si="43"/>
        <v>Robusta</v>
      </c>
      <c r="O952" t="str">
        <f t="shared" si="44"/>
        <v>Large</v>
      </c>
      <c r="P952" t="str">
        <f>_xlfn.XLOOKUP(C952,customers!$A$1:$A$1001,customers!$I$1:$I$1001,0)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IF(_xlfn.XLOOKUP(C953,customers!$A$1:$A$1001,customers!$C$1:$C$1001,)=0,"",_xlfn.XLOOKUP(C953,customers!$A$1:$A$1001,customers!$C$1:$C$1001,))</f>
        <v>ieberleinqf@hc360.com</v>
      </c>
      <c r="H953" s="2" t="str" cm="1">
        <f t="array" ref="H953">_xlfn.XLOOKUP(C953,customers!$A$1:$A$1001,customers!$G$1:$G$1001,customers!A952:H1925)</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7">
        <f t="shared" si="42"/>
        <v>21.509999999999998</v>
      </c>
      <c r="N953" t="str">
        <f t="shared" si="43"/>
        <v>Robusta</v>
      </c>
      <c r="O953" t="str">
        <f t="shared" si="44"/>
        <v>Large</v>
      </c>
      <c r="P953" t="str">
        <f>_xlfn.XLOOKUP(C953,customers!$A$1:$A$1001,customers!$I$1:$I$1001,0)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IF(_xlfn.XLOOKUP(C954,customers!$A$1:$A$1001,customers!$C$1:$C$1001,)=0,"",_xlfn.XLOOKUP(C954,customers!$A$1:$A$1001,customers!$C$1:$C$1001,))</f>
        <v>jdrengqg@uiuc.edu</v>
      </c>
      <c r="H954" s="2" t="str" cm="1">
        <f t="array" ref="H954">_xlfn.XLOOKUP(C954,customers!$A$1:$A$1001,customers!$G$1:$G$1001,customers!A953:H1926)</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7">
        <f t="shared" si="42"/>
        <v>22.5</v>
      </c>
      <c r="N954" t="str">
        <f t="shared" si="43"/>
        <v>Arabic</v>
      </c>
      <c r="O954" t="str">
        <f t="shared" si="44"/>
        <v>Medium</v>
      </c>
      <c r="P954" t="str">
        <f>_xlfn.XLOOKUP(C954,customers!$A$1:$A$1001,customers!$I$1:$I$1001,0)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IF(_xlfn.XLOOKUP(C955,customers!$A$1:$A$1001,customers!$C$1:$C$1001,)=0,"",_xlfn.XLOOKUP(C955,customers!$A$1:$A$1001,customers!$C$1:$C$1001,))</f>
        <v/>
      </c>
      <c r="H955" s="2" t="str" cm="1">
        <f t="array" ref="H955">_xlfn.XLOOKUP(C955,customers!$A$1:$A$1001,customers!$G$1:$G$1001,customers!A954:H1927)</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7">
        <f t="shared" si="42"/>
        <v>3.8849999999999998</v>
      </c>
      <c r="N955" t="str">
        <f t="shared" si="43"/>
        <v>Arabic</v>
      </c>
      <c r="O955" t="str">
        <f t="shared" si="44"/>
        <v>Large</v>
      </c>
      <c r="P955" t="str">
        <f>_xlfn.XLOOKUP(C955,customers!$A$1:$A$1001,customers!$I$1:$I$1001,0)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IF(_xlfn.XLOOKUP(C956,customers!$A$1:$A$1001,customers!$C$1:$C$1001,)=0,"",_xlfn.XLOOKUP(C956,customers!$A$1:$A$1001,customers!$C$1:$C$1001,))</f>
        <v/>
      </c>
      <c r="H956" s="2" t="str" cm="1">
        <f t="array" ref="H956">_xlfn.XLOOKUP(C956,customers!$A$1:$A$1001,customers!$G$1:$G$1001,customers!A955:H1928)</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7">
        <f t="shared" si="42"/>
        <v>27.945</v>
      </c>
      <c r="N956" t="str">
        <f t="shared" si="43"/>
        <v>Excelsa</v>
      </c>
      <c r="O956" t="str">
        <f t="shared" si="44"/>
        <v>Dark</v>
      </c>
      <c r="P956" t="str">
        <f>_xlfn.XLOOKUP(C956,customers!$A$1:$A$1001,customers!$I$1:$I$1001,0)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IF(_xlfn.XLOOKUP(C957,customers!$A$1:$A$1001,customers!$C$1:$C$1001,)=0,"",_xlfn.XLOOKUP(C957,customers!$A$1:$A$1001,customers!$C$1:$C$1001,))</f>
        <v/>
      </c>
      <c r="H957" s="2" t="str" cm="1">
        <f t="array" ref="H957">_xlfn.XLOOKUP(C957,customers!$A$1:$A$1001,customers!$G$1:$G$1001,customers!A956:H1929)</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7">
        <f t="shared" si="42"/>
        <v>170.77499999999998</v>
      </c>
      <c r="N957" t="str">
        <f t="shared" si="43"/>
        <v>Excelsa</v>
      </c>
      <c r="O957" t="str">
        <f t="shared" si="44"/>
        <v>Large</v>
      </c>
      <c r="P957" t="str">
        <f>_xlfn.XLOOKUP(C957,customers!$A$1:$A$1001,customers!$I$1:$I$1001,0)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IF(_xlfn.XLOOKUP(C958,customers!$A$1:$A$1001,customers!$C$1:$C$1001,)=0,"",_xlfn.XLOOKUP(C958,customers!$A$1:$A$1001,customers!$C$1:$C$1001,))</f>
        <v/>
      </c>
      <c r="H958" s="2" t="str" cm="1">
        <f t="array" ref="H958">_xlfn.XLOOKUP(C958,customers!$A$1:$A$1001,customers!$G$1:$G$1001,customers!A957:H1930)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7">
        <f t="shared" si="42"/>
        <v>54.969999999999992</v>
      </c>
      <c r="N958" t="str">
        <f t="shared" si="43"/>
        <v>Robusta</v>
      </c>
      <c r="O958" t="str">
        <f t="shared" si="44"/>
        <v>Large</v>
      </c>
      <c r="P958" t="str">
        <f>_xlfn.XLOOKUP(C958,customers!$A$1:$A$1001,customers!$I$1:$I$1001,0)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IF(_xlfn.XLOOKUP(C959,customers!$A$1:$A$1001,customers!$C$1:$C$1001,)=0,"",_xlfn.XLOOKUP(C959,customers!$A$1:$A$1001,customers!$C$1:$C$1001,))</f>
        <v/>
      </c>
      <c r="H959" s="2" t="str" cm="1">
        <f t="array" ref="H959">_xlfn.XLOOKUP(C959,customers!$A$1:$A$1001,customers!$G$1:$G$1001,customers!A958:H1931)</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7">
        <f t="shared" si="42"/>
        <v>14.85</v>
      </c>
      <c r="N959" t="str">
        <f t="shared" si="43"/>
        <v>Excelsa</v>
      </c>
      <c r="O959" t="str">
        <f t="shared" si="44"/>
        <v>Large</v>
      </c>
      <c r="P959" t="str">
        <f>_xlfn.XLOOKUP(C959,customers!$A$1:$A$1001,customers!$I$1:$I$1001,0)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IF(_xlfn.XLOOKUP(C960,customers!$A$1:$A$1001,customers!$C$1:$C$1001,)=0,"",_xlfn.XLOOKUP(C960,customers!$A$1:$A$1001,customers!$C$1:$C$1001,))</f>
        <v/>
      </c>
      <c r="H960" s="2" t="str" cm="1">
        <f t="array" ref="H960">_xlfn.XLOOKUP(C960,customers!$A$1:$A$1001,customers!$G$1:$G$1001,customers!A959:H1932)</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7">
        <f t="shared" si="42"/>
        <v>7.77</v>
      </c>
      <c r="N960" t="str">
        <f t="shared" si="43"/>
        <v>Arabic</v>
      </c>
      <c r="O960" t="str">
        <f t="shared" si="44"/>
        <v>Large</v>
      </c>
      <c r="P960" t="str">
        <f>_xlfn.XLOOKUP(C960,customers!$A$1:$A$1001,customers!$I$1:$I$1001,0)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IF(_xlfn.XLOOKUP(C961,customers!$A$1:$A$1001,customers!$C$1:$C$1001,)=0,"",_xlfn.XLOOKUP(C961,customers!$A$1:$A$1001,customers!$C$1:$C$1001,))</f>
        <v>rstrathernqn@devhub.com</v>
      </c>
      <c r="H961" s="2" t="str" cm="1">
        <f t="array" ref="H961">_xlfn.XLOOKUP(C961,customers!$A$1:$A$1001,customers!$G$1:$G$1001,customers!A960:H1933)</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7">
        <f t="shared" si="42"/>
        <v>23.774999999999999</v>
      </c>
      <c r="N961" t="str">
        <f t="shared" si="43"/>
        <v>Librica</v>
      </c>
      <c r="O961" t="str">
        <f t="shared" si="44"/>
        <v>Large</v>
      </c>
      <c r="P961" t="str">
        <f>_xlfn.XLOOKUP(C961,customers!$A$1:$A$1001,customers!$I$1:$I$1001,0)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IF(_xlfn.XLOOKUP(C962,customers!$A$1:$A$1001,customers!$C$1:$C$1001,)=0,"",_xlfn.XLOOKUP(C962,customers!$A$1:$A$1001,customers!$C$1:$C$1001,))</f>
        <v>cmiguelqo@exblog.jp</v>
      </c>
      <c r="H962" s="2" t="str" cm="1">
        <f t="array" ref="H962">_xlfn.XLOOKUP(C962,customers!$A$1:$A$1001,customers!$G$1:$G$1001,customers!A961:H1934)</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7">
        <f t="shared" si="42"/>
        <v>79.25</v>
      </c>
      <c r="N962" t="str">
        <f t="shared" si="43"/>
        <v>Librica</v>
      </c>
      <c r="O962" t="str">
        <f t="shared" si="44"/>
        <v>Large</v>
      </c>
      <c r="P962" t="str">
        <f>_xlfn.XLOOKUP(C962,customers!$A$1:$A$1001,customers!$I$1:$I$1001,0)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IF(_xlfn.XLOOKUP(C963,customers!$A$1:$A$1001,customers!$C$1:$C$1001,)=0,"",_xlfn.XLOOKUP(C963,customers!$A$1:$A$1001,customers!$C$1:$C$1001,))</f>
        <v/>
      </c>
      <c r="H963" s="2" t="str" cm="1">
        <f t="array" ref="H963">_xlfn.XLOOKUP(C963,customers!$A$1:$A$1001,customers!$G$1:$G$1001,customers!A962:H1935)</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7">
        <f t="shared" ref="M963:M1001" si="45">L963*E963</f>
        <v>45.769999999999996</v>
      </c>
      <c r="N963" t="str">
        <f t="shared" ref="N963:N1001" si="46">IF(I963="Rob","Robusta",IF(I963="Exc","Excelsa",IF(I963="Ara","Arabic",IF(I963="Lib","Librica"))))</f>
        <v>Arabic</v>
      </c>
      <c r="O963" t="str">
        <f t="shared" ref="O963:O1001" si="47">IF(J963="M","Medium",IF(J963="L","Large",IF(J963="D","Dark")))</f>
        <v>Dark</v>
      </c>
      <c r="P963" t="str">
        <f>_xlfn.XLOOKUP(C963,customers!$A$1:$A$1001,customers!$I$1:$I$1001,0)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IF(_xlfn.XLOOKUP(C964,customers!$A$1:$A$1001,customers!$C$1:$C$1001,)=0,"",_xlfn.XLOOKUP(C964,customers!$A$1:$A$1001,customers!$C$1:$C$1001,))</f>
        <v>mrocksqq@exblog.jp</v>
      </c>
      <c r="H964" s="2" t="str" cm="1">
        <f t="array" ref="H964">_xlfn.XLOOKUP(C964,customers!$A$1:$A$1001,customers!$G$1:$G$1001,customers!A963:H1936)</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7">
        <f t="shared" si="45"/>
        <v>8.9499999999999993</v>
      </c>
      <c r="N964" t="str">
        <f t="shared" si="46"/>
        <v>Robusta</v>
      </c>
      <c r="O964" t="str">
        <f t="shared" si="47"/>
        <v>Dark</v>
      </c>
      <c r="P964" t="str">
        <f>_xlfn.XLOOKUP(C964,customers!$A$1:$A$1001,customers!$I$1:$I$1001,0)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IF(_xlfn.XLOOKUP(C965,customers!$A$1:$A$1001,customers!$C$1:$C$1001,)=0,"",_xlfn.XLOOKUP(C965,customers!$A$1:$A$1001,customers!$C$1:$C$1001,))</f>
        <v>yburrellsqr@vinaora.com</v>
      </c>
      <c r="H965" s="2" t="str" cm="1">
        <f t="array" ref="H965">_xlfn.XLOOKUP(C965,customers!$A$1:$A$1001,customers!$G$1:$G$1001,customers!A964:H1937)</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7">
        <f t="shared" si="45"/>
        <v>23.88</v>
      </c>
      <c r="N965" t="str">
        <f t="shared" si="46"/>
        <v>Robusta</v>
      </c>
      <c r="O965" t="str">
        <f t="shared" si="47"/>
        <v>Medium</v>
      </c>
      <c r="P965" t="str">
        <f>_xlfn.XLOOKUP(C965,customers!$A$1:$A$1001,customers!$I$1:$I$1001,0)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IF(_xlfn.XLOOKUP(C966,customers!$A$1:$A$1001,customers!$C$1:$C$1001,)=0,"",_xlfn.XLOOKUP(C966,customers!$A$1:$A$1001,customers!$C$1:$C$1001,))</f>
        <v>cgoodrumqs@goodreads.com</v>
      </c>
      <c r="H966" s="2" t="str" cm="1">
        <f t="array" ref="H966">_xlfn.XLOOKUP(C966,customers!$A$1:$A$1001,customers!$G$1:$G$1001,customers!A965:H1938)</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7">
        <f t="shared" si="45"/>
        <v>22.274999999999999</v>
      </c>
      <c r="N966" t="str">
        <f t="shared" si="46"/>
        <v>Excelsa</v>
      </c>
      <c r="O966" t="str">
        <f t="shared" si="47"/>
        <v>Large</v>
      </c>
      <c r="P966" t="str">
        <f>_xlfn.XLOOKUP(C966,customers!$A$1:$A$1001,customers!$I$1:$I$1001,0)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IF(_xlfn.XLOOKUP(C967,customers!$A$1:$A$1001,customers!$C$1:$C$1001,)=0,"",_xlfn.XLOOKUP(C967,customers!$A$1:$A$1001,customers!$C$1:$C$1001,))</f>
        <v>jjefferysqt@blog.com</v>
      </c>
      <c r="H967" s="2" t="str" cm="1">
        <f t="array" ref="H967">_xlfn.XLOOKUP(C967,customers!$A$1:$A$1001,customers!$G$1:$G$1001,customers!A966:H1939)</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7">
        <f t="shared" si="45"/>
        <v>29.849999999999998</v>
      </c>
      <c r="N967" t="str">
        <f t="shared" si="46"/>
        <v>Robusta</v>
      </c>
      <c r="O967" t="str">
        <f t="shared" si="47"/>
        <v>Medium</v>
      </c>
      <c r="P967" t="str">
        <f>_xlfn.XLOOKUP(C967,customers!$A$1:$A$1001,customers!$I$1:$I$1001,0)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IF(_xlfn.XLOOKUP(C968,customers!$A$1:$A$1001,customers!$C$1:$C$1001,)=0,"",_xlfn.XLOOKUP(C968,customers!$A$1:$A$1001,customers!$C$1:$C$1001,))</f>
        <v>bwardellqu@adobe.com</v>
      </c>
      <c r="H968" s="2" t="str" cm="1">
        <f t="array" ref="H968">_xlfn.XLOOKUP(C968,customers!$A$1:$A$1001,customers!$G$1:$G$1001,customers!A967:H1940)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7">
        <f t="shared" si="45"/>
        <v>53.46</v>
      </c>
      <c r="N968" t="str">
        <f t="shared" si="46"/>
        <v>Excelsa</v>
      </c>
      <c r="O968" t="str">
        <f t="shared" si="47"/>
        <v>Large</v>
      </c>
      <c r="P968" t="str">
        <f>_xlfn.XLOOKUP(C968,customers!$A$1:$A$1001,customers!$I$1:$I$1001,0)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IF(_xlfn.XLOOKUP(C969,customers!$A$1:$A$1001,customers!$C$1:$C$1001,)=0,"",_xlfn.XLOOKUP(C969,customers!$A$1:$A$1001,customers!$C$1:$C$1001,))</f>
        <v>zwalisiakqv@ucsd.edu</v>
      </c>
      <c r="H969" s="2" t="str" cm="1">
        <f t="array" ref="H969">_xlfn.XLOOKUP(C969,customers!$A$1:$A$1001,customers!$G$1:$G$1001,customers!A968:H1941)</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7">
        <f t="shared" si="45"/>
        <v>2.6849999999999996</v>
      </c>
      <c r="N969" t="str">
        <f t="shared" si="46"/>
        <v>Robusta</v>
      </c>
      <c r="O969" t="str">
        <f t="shared" si="47"/>
        <v>Dark</v>
      </c>
      <c r="P969" t="str">
        <f>_xlfn.XLOOKUP(C969,customers!$A$1:$A$1001,customers!$I$1:$I$1001,0)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IF(_xlfn.XLOOKUP(C970,customers!$A$1:$A$1001,customers!$C$1:$C$1001,)=0,"",_xlfn.XLOOKUP(C970,customers!$A$1:$A$1001,customers!$C$1:$C$1001,))</f>
        <v>wleopoldqw@blogspot.com</v>
      </c>
      <c r="H970" s="2" t="str" cm="1">
        <f t="array" ref="H970">_xlfn.XLOOKUP(C970,customers!$A$1:$A$1001,customers!$G$1:$G$1001,customers!A969:H1942)</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7">
        <f t="shared" si="45"/>
        <v>5.97</v>
      </c>
      <c r="N970" t="str">
        <f t="shared" si="46"/>
        <v>Robusta</v>
      </c>
      <c r="O970" t="str">
        <f t="shared" si="47"/>
        <v>Medium</v>
      </c>
      <c r="P970" t="str">
        <f>_xlfn.XLOOKUP(C970,customers!$A$1:$A$1001,customers!$I$1:$I$1001,0)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IF(_xlfn.XLOOKUP(C971,customers!$A$1:$A$1001,customers!$C$1:$C$1001,)=0,"",_xlfn.XLOOKUP(C971,customers!$A$1:$A$1001,customers!$C$1:$C$1001,))</f>
        <v>cshaldersqx@cisco.com</v>
      </c>
      <c r="H971" s="2" t="str" cm="1">
        <f t="array" ref="H971">_xlfn.XLOOKUP(C971,customers!$A$1:$A$1001,customers!$G$1:$G$1001,customers!A970:H1943)</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7">
        <f t="shared" si="45"/>
        <v>12.95</v>
      </c>
      <c r="N971" t="str">
        <f t="shared" si="46"/>
        <v>Librica</v>
      </c>
      <c r="O971" t="str">
        <f t="shared" si="47"/>
        <v>Dark</v>
      </c>
      <c r="P971" t="str">
        <f>_xlfn.XLOOKUP(C971,customers!$A$1:$A$1001,customers!$I$1:$I$1001,0)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IF(_xlfn.XLOOKUP(C972,customers!$A$1:$A$1001,customers!$C$1:$C$1001,)=0,"",_xlfn.XLOOKUP(C972,customers!$A$1:$A$1001,customers!$C$1:$C$1001,))</f>
        <v/>
      </c>
      <c r="H972" s="2" t="str" cm="1">
        <f t="array" ref="H972">_xlfn.XLOOKUP(C972,customers!$A$1:$A$1001,customers!$G$1:$G$1001,customers!A971:H1944)</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7">
        <f t="shared" si="45"/>
        <v>8.25</v>
      </c>
      <c r="N972" t="str">
        <f t="shared" si="46"/>
        <v>Excelsa</v>
      </c>
      <c r="O972" t="str">
        <f t="shared" si="47"/>
        <v>Medium</v>
      </c>
      <c r="P972" t="str">
        <f>_xlfn.XLOOKUP(C972,customers!$A$1:$A$1001,customers!$I$1:$I$1001,0)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IF(_xlfn.XLOOKUP(C973,customers!$A$1:$A$1001,customers!$C$1:$C$1001,)=0,"",_xlfn.XLOOKUP(C973,customers!$A$1:$A$1001,customers!$C$1:$C$1001,))</f>
        <v>nfurberqz@jugem.jp</v>
      </c>
      <c r="H973" s="2" t="str" cm="1">
        <f t="array" ref="H973">_xlfn.XLOOKUP(C973,customers!$A$1:$A$1001,customers!$G$1:$G$1001,customers!A972:H1945)</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7">
        <f t="shared" si="45"/>
        <v>148.92499999999998</v>
      </c>
      <c r="N973" t="str">
        <f t="shared" si="46"/>
        <v>Arabic</v>
      </c>
      <c r="O973" t="str">
        <f t="shared" si="47"/>
        <v>Large</v>
      </c>
      <c r="P973" t="str">
        <f>_xlfn.XLOOKUP(C973,customers!$A$1:$A$1001,customers!$I$1:$I$1001,0)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IF(_xlfn.XLOOKUP(C974,customers!$A$1:$A$1001,customers!$C$1:$C$1001,)=0,"",_xlfn.XLOOKUP(C974,customers!$A$1:$A$1001,customers!$C$1:$C$1001,))</f>
        <v/>
      </c>
      <c r="H974" s="2" t="str" cm="1">
        <f t="array" ref="H974">_xlfn.XLOOKUP(C974,customers!$A$1:$A$1001,customers!$G$1:$G$1001,customers!A973:H1946)</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7">
        <f t="shared" si="45"/>
        <v>89.35499999999999</v>
      </c>
      <c r="N974" t="str">
        <f t="shared" si="46"/>
        <v>Arabic</v>
      </c>
      <c r="O974" t="str">
        <f t="shared" si="47"/>
        <v>Large</v>
      </c>
      <c r="P974" t="str">
        <f>_xlfn.XLOOKUP(C974,customers!$A$1:$A$1001,customers!$I$1:$I$1001,0)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IF(_xlfn.XLOOKUP(C975,customers!$A$1:$A$1001,customers!$C$1:$C$1001,)=0,"",_xlfn.XLOOKUP(C975,customers!$A$1:$A$1001,customers!$C$1:$C$1001,))</f>
        <v>ckeaver1@ucoz.com</v>
      </c>
      <c r="H975" s="2" t="str" cm="1">
        <f t="array" ref="H975">_xlfn.XLOOKUP(C975,customers!$A$1:$A$1001,customers!$G$1:$G$1001,customers!A974:H1947)</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7">
        <f t="shared" si="45"/>
        <v>87.300000000000011</v>
      </c>
      <c r="N975" t="str">
        <f t="shared" si="46"/>
        <v>Librica</v>
      </c>
      <c r="O975" t="str">
        <f t="shared" si="47"/>
        <v>Medium</v>
      </c>
      <c r="P975" t="str">
        <f>_xlfn.XLOOKUP(C975,customers!$A$1:$A$1001,customers!$I$1:$I$1001,0)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IF(_xlfn.XLOOKUP(C976,customers!$A$1:$A$1001,customers!$C$1:$C$1001,)=0,"",_xlfn.XLOOKUP(C976,customers!$A$1:$A$1001,customers!$C$1:$C$1001,))</f>
        <v>sroseboroughr2@virginia.edu</v>
      </c>
      <c r="H976" s="2" t="str" cm="1">
        <f t="array" ref="H976">_xlfn.XLOOKUP(C976,customers!$A$1:$A$1001,customers!$G$1:$G$1001,customers!A975:H1948)</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7">
        <f t="shared" si="45"/>
        <v>5.3699999999999992</v>
      </c>
      <c r="N976" t="str">
        <f t="shared" si="46"/>
        <v>Robusta</v>
      </c>
      <c r="O976" t="str">
        <f t="shared" si="47"/>
        <v>Dark</v>
      </c>
      <c r="P976" t="str">
        <f>_xlfn.XLOOKUP(C976,customers!$A$1:$A$1001,customers!$I$1:$I$1001,0)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IF(_xlfn.XLOOKUP(C977,customers!$A$1:$A$1001,customers!$C$1:$C$1001,)=0,"",_xlfn.XLOOKUP(C977,customers!$A$1:$A$1001,customers!$C$1:$C$1001,))</f>
        <v>ckingwellr3@squarespace.com</v>
      </c>
      <c r="H977" s="2" t="str" cm="1">
        <f t="array" ref="H977">_xlfn.XLOOKUP(C977,customers!$A$1:$A$1001,customers!$G$1:$G$1001,customers!A976:H1949)</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7">
        <f t="shared" si="45"/>
        <v>8.9550000000000001</v>
      </c>
      <c r="N977" t="str">
        <f t="shared" si="46"/>
        <v>Arabic</v>
      </c>
      <c r="O977" t="str">
        <f t="shared" si="47"/>
        <v>Dark</v>
      </c>
      <c r="P977" t="str">
        <f>_xlfn.XLOOKUP(C977,customers!$A$1:$A$1001,customers!$I$1:$I$1001,0)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IF(_xlfn.XLOOKUP(C978,customers!$A$1:$A$1001,customers!$C$1:$C$1001,)=0,"",_xlfn.XLOOKUP(C978,customers!$A$1:$A$1001,customers!$C$1:$C$1001,))</f>
        <v>kcantor4@gmpg.org</v>
      </c>
      <c r="H978" s="2" t="str" cm="1">
        <f t="array" ref="H978">_xlfn.XLOOKUP(C978,customers!$A$1:$A$1001,customers!$G$1:$G$1001,customers!A977:H1950)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7">
        <f t="shared" si="45"/>
        <v>137.42499999999998</v>
      </c>
      <c r="N978" t="str">
        <f t="shared" si="46"/>
        <v>Robusta</v>
      </c>
      <c r="O978" t="str">
        <f t="shared" si="47"/>
        <v>Large</v>
      </c>
      <c r="P978" t="str">
        <f>_xlfn.XLOOKUP(C978,customers!$A$1:$A$1001,customers!$I$1:$I$1001,0)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IF(_xlfn.XLOOKUP(C979,customers!$A$1:$A$1001,customers!$C$1:$C$1001,)=0,"",_xlfn.XLOOKUP(C979,customers!$A$1:$A$1001,customers!$C$1:$C$1001,))</f>
        <v>mblakemorer5@nsw.gov.au</v>
      </c>
      <c r="H979" s="2" t="str" cm="1">
        <f t="array" ref="H979">_xlfn.XLOOKUP(C979,customers!$A$1:$A$1001,customers!$G$1:$G$1001,customers!A978:H1951)</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7">
        <f t="shared" si="45"/>
        <v>59.75</v>
      </c>
      <c r="N979" t="str">
        <f t="shared" si="46"/>
        <v>Robusta</v>
      </c>
      <c r="O979" t="str">
        <f t="shared" si="47"/>
        <v>Large</v>
      </c>
      <c r="P979" t="str">
        <f>_xlfn.XLOOKUP(C979,customers!$A$1:$A$1001,customers!$I$1:$I$1001,0)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IF(_xlfn.XLOOKUP(C980,customers!$A$1:$A$1001,customers!$C$1:$C$1001,)=0,"",_xlfn.XLOOKUP(C980,customers!$A$1:$A$1001,customers!$C$1:$C$1001,))</f>
        <v>ckeaver1@ucoz.com</v>
      </c>
      <c r="H980" s="2" t="str" cm="1">
        <f t="array" ref="H980">_xlfn.XLOOKUP(C980,customers!$A$1:$A$1001,customers!$G$1:$G$1001,customers!A979:H1952)</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7">
        <f t="shared" si="45"/>
        <v>23.31</v>
      </c>
      <c r="N980" t="str">
        <f t="shared" si="46"/>
        <v>Arabic</v>
      </c>
      <c r="O980" t="str">
        <f t="shared" si="47"/>
        <v>Large</v>
      </c>
      <c r="P980" t="str">
        <f>_xlfn.XLOOKUP(C980,customers!$A$1:$A$1001,customers!$I$1:$I$1001,0)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IF(_xlfn.XLOOKUP(C981,customers!$A$1:$A$1001,customers!$C$1:$C$1001,)=0,"",_xlfn.XLOOKUP(C981,customers!$A$1:$A$1001,customers!$C$1:$C$1001,))</f>
        <v/>
      </c>
      <c r="H981" s="2" t="str" cm="1">
        <f t="array" ref="H981">_xlfn.XLOOKUP(C981,customers!$A$1:$A$1001,customers!$G$1:$G$1001,customers!A980:H1953)</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7">
        <f t="shared" si="45"/>
        <v>10.739999999999998</v>
      </c>
      <c r="N981" t="str">
        <f t="shared" si="46"/>
        <v>Robusta</v>
      </c>
      <c r="O981" t="str">
        <f t="shared" si="47"/>
        <v>Dark</v>
      </c>
      <c r="P981" t="str">
        <f>_xlfn.XLOOKUP(C981,customers!$A$1:$A$1001,customers!$I$1:$I$1001,0)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IF(_xlfn.XLOOKUP(C982,customers!$A$1:$A$1001,customers!$C$1:$C$1001,)=0,"",_xlfn.XLOOKUP(C982,customers!$A$1:$A$1001,customers!$C$1:$C$1001,))</f>
        <v/>
      </c>
      <c r="H982" s="2" t="str" cm="1">
        <f t="array" ref="H982">_xlfn.XLOOKUP(C982,customers!$A$1:$A$1001,customers!$G$1:$G$1001,customers!A981:H1954)</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7">
        <f t="shared" si="45"/>
        <v>167.67000000000002</v>
      </c>
      <c r="N982" t="str">
        <f t="shared" si="46"/>
        <v>Excelsa</v>
      </c>
      <c r="O982" t="str">
        <f t="shared" si="47"/>
        <v>Dark</v>
      </c>
      <c r="P982" t="str">
        <f>_xlfn.XLOOKUP(C982,customers!$A$1:$A$1001,customers!$I$1:$I$1001,0)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IF(_xlfn.XLOOKUP(C983,customers!$A$1:$A$1001,customers!$C$1:$C$1001,)=0,"",_xlfn.XLOOKUP(C983,customers!$A$1:$A$1001,customers!$C$1:$C$1001,))</f>
        <v>cbernardotr9@wix.com</v>
      </c>
      <c r="H983" s="2" t="str" cm="1">
        <f t="array" ref="H983">_xlfn.XLOOKUP(C983,customers!$A$1:$A$1001,customers!$G$1:$G$1001,customers!A982:H1955)</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7">
        <f t="shared" si="45"/>
        <v>21.87</v>
      </c>
      <c r="N983" t="str">
        <f t="shared" si="46"/>
        <v>Excelsa</v>
      </c>
      <c r="O983" t="str">
        <f t="shared" si="47"/>
        <v>Dark</v>
      </c>
      <c r="P983" t="str">
        <f>_xlfn.XLOOKUP(C983,customers!$A$1:$A$1001,customers!$I$1:$I$1001,0)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IF(_xlfn.XLOOKUP(C984,customers!$A$1:$A$1001,customers!$C$1:$C$1001,)=0,"",_xlfn.XLOOKUP(C984,customers!$A$1:$A$1001,customers!$C$1:$C$1001,))</f>
        <v>kkemeryra@t.co</v>
      </c>
      <c r="H984" s="2" t="str" cm="1">
        <f t="array" ref="H984">_xlfn.XLOOKUP(C984,customers!$A$1:$A$1001,customers!$G$1:$G$1001,customers!A983:H1956)</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7">
        <f t="shared" si="45"/>
        <v>23.9</v>
      </c>
      <c r="N984" t="str">
        <f t="shared" si="46"/>
        <v>Robusta</v>
      </c>
      <c r="O984" t="str">
        <f t="shared" si="47"/>
        <v>Large</v>
      </c>
      <c r="P984" t="str">
        <f>_xlfn.XLOOKUP(C984,customers!$A$1:$A$1001,customers!$I$1:$I$1001,0)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IF(_xlfn.XLOOKUP(C985,customers!$A$1:$A$1001,customers!$C$1:$C$1001,)=0,"",_xlfn.XLOOKUP(C985,customers!$A$1:$A$1001,customers!$C$1:$C$1001,))</f>
        <v>fparlotrb@forbes.com</v>
      </c>
      <c r="H985" s="2" t="str" cm="1">
        <f t="array" ref="H985">_xlfn.XLOOKUP(C985,customers!$A$1:$A$1001,customers!$G$1:$G$1001,customers!A984:H1957)</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7">
        <f t="shared" si="45"/>
        <v>6.75</v>
      </c>
      <c r="N985" t="str">
        <f t="shared" si="46"/>
        <v>Arabic</v>
      </c>
      <c r="O985" t="str">
        <f t="shared" si="47"/>
        <v>Medium</v>
      </c>
      <c r="P985" t="str">
        <f>_xlfn.XLOOKUP(C985,customers!$A$1:$A$1001,customers!$I$1:$I$1001,0)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IF(_xlfn.XLOOKUP(C986,customers!$A$1:$A$1001,customers!$C$1:$C$1001,)=0,"",_xlfn.XLOOKUP(C986,customers!$A$1:$A$1001,customers!$C$1:$C$1001,))</f>
        <v>rcheakrc@tripadvisor.com</v>
      </c>
      <c r="H986" s="2" t="str" cm="1">
        <f t="array" ref="H986">_xlfn.XLOOKUP(C986,customers!$A$1:$A$1001,customers!$G$1:$G$1001,customers!A985:H1958)</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7">
        <f t="shared" si="45"/>
        <v>31.624999999999996</v>
      </c>
      <c r="N986" t="str">
        <f t="shared" si="46"/>
        <v>Excelsa</v>
      </c>
      <c r="O986" t="str">
        <f t="shared" si="47"/>
        <v>Medium</v>
      </c>
      <c r="P986" t="str">
        <f>_xlfn.XLOOKUP(C986,customers!$A$1:$A$1001,customers!$I$1:$I$1001,0)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IF(_xlfn.XLOOKUP(C987,customers!$A$1:$A$1001,customers!$C$1:$C$1001,)=0,"",_xlfn.XLOOKUP(C987,customers!$A$1:$A$1001,customers!$C$1:$C$1001,))</f>
        <v>kogeneayrd@utexas.edu</v>
      </c>
      <c r="H987" s="2" t="str" cm="1">
        <f t="array" ref="H987">_xlfn.XLOOKUP(C987,customers!$A$1:$A$1001,customers!$G$1:$G$1001,customers!A986:H1959)</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7">
        <f t="shared" si="45"/>
        <v>47.8</v>
      </c>
      <c r="N987" t="str">
        <f t="shared" si="46"/>
        <v>Robusta</v>
      </c>
      <c r="O987" t="str">
        <f t="shared" si="47"/>
        <v>Large</v>
      </c>
      <c r="P987" t="str">
        <f>_xlfn.XLOOKUP(C987,customers!$A$1:$A$1001,customers!$I$1:$I$1001,0)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IF(_xlfn.XLOOKUP(C988,customers!$A$1:$A$1001,customers!$C$1:$C$1001,)=0,"",_xlfn.XLOOKUP(C988,customers!$A$1:$A$1001,customers!$C$1:$C$1001,))</f>
        <v>cayrere@symantec.com</v>
      </c>
      <c r="H988" s="2" t="str" cm="1">
        <f t="array" ref="H988">_xlfn.XLOOKUP(C988,customers!$A$1:$A$1001,customers!$G$1:$G$1001,customers!A987:H1960)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7">
        <f t="shared" si="45"/>
        <v>33.464999999999996</v>
      </c>
      <c r="N988" t="str">
        <f t="shared" si="46"/>
        <v>Librica</v>
      </c>
      <c r="O988" t="str">
        <f t="shared" si="47"/>
        <v>Medium</v>
      </c>
      <c r="P988" t="str">
        <f>_xlfn.XLOOKUP(C988,customers!$A$1:$A$1001,customers!$I$1:$I$1001,0)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IF(_xlfn.XLOOKUP(C989,customers!$A$1:$A$1001,customers!$C$1:$C$1001,)=0,"",_xlfn.XLOOKUP(C989,customers!$A$1:$A$1001,customers!$C$1:$C$1001,))</f>
        <v>lkynetonrf@macromedia.com</v>
      </c>
      <c r="H989" s="2" t="str" cm="1">
        <f t="array" ref="H989">_xlfn.XLOOKUP(C989,customers!$A$1:$A$1001,customers!$G$1:$G$1001,customers!A988:H1961)</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7">
        <f t="shared" si="45"/>
        <v>29.849999999999998</v>
      </c>
      <c r="N989" t="str">
        <f t="shared" si="46"/>
        <v>Arabic</v>
      </c>
      <c r="O989" t="str">
        <f t="shared" si="47"/>
        <v>Dark</v>
      </c>
      <c r="P989" t="str">
        <f>_xlfn.XLOOKUP(C989,customers!$A$1:$A$1001,customers!$I$1:$I$1001,0)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IF(_xlfn.XLOOKUP(C990,customers!$A$1:$A$1001,customers!$C$1:$C$1001,)=0,"",_xlfn.XLOOKUP(C990,customers!$A$1:$A$1001,customers!$C$1:$C$1001,))</f>
        <v/>
      </c>
      <c r="H990" s="2" t="str" cm="1">
        <f t="array" ref="H990">_xlfn.XLOOKUP(C990,customers!$A$1:$A$1001,customers!$G$1:$G$1001,customers!A989:H1962)</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7">
        <f t="shared" si="45"/>
        <v>29.849999999999998</v>
      </c>
      <c r="N990" t="str">
        <f t="shared" si="46"/>
        <v>Robusta</v>
      </c>
      <c r="O990" t="str">
        <f t="shared" si="47"/>
        <v>Medium</v>
      </c>
      <c r="P990" t="str">
        <f>_xlfn.XLOOKUP(C990,customers!$A$1:$A$1001,customers!$I$1:$I$1001,0)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IF(_xlfn.XLOOKUP(C991,customers!$A$1:$A$1001,customers!$C$1:$C$1001,)=0,"",_xlfn.XLOOKUP(C991,customers!$A$1:$A$1001,customers!$C$1:$C$1001,))</f>
        <v/>
      </c>
      <c r="H991" s="2" t="str" cm="1">
        <f t="array" ref="H991">_xlfn.XLOOKUP(C991,customers!$A$1:$A$1001,customers!$G$1:$G$1001,customers!A990:H1963)</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7">
        <f t="shared" si="45"/>
        <v>155.24999999999997</v>
      </c>
      <c r="N991" t="str">
        <f t="shared" si="46"/>
        <v>Arabic</v>
      </c>
      <c r="O991" t="str">
        <f t="shared" si="47"/>
        <v>Medium</v>
      </c>
      <c r="P991" t="str">
        <f>_xlfn.XLOOKUP(C991,customers!$A$1:$A$1001,customers!$I$1:$I$1001,0)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IF(_xlfn.XLOOKUP(C992,customers!$A$1:$A$1001,customers!$C$1:$C$1001,)=0,"",_xlfn.XLOOKUP(C992,customers!$A$1:$A$1001,customers!$C$1:$C$1001,))</f>
        <v/>
      </c>
      <c r="H992" s="2" t="str" cm="1">
        <f t="array" ref="H992">_xlfn.XLOOKUP(C992,customers!$A$1:$A$1001,customers!$G$1:$G$1001,customers!A991:H1964)</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7">
        <f t="shared" si="45"/>
        <v>18.225000000000001</v>
      </c>
      <c r="N992" t="str">
        <f t="shared" si="46"/>
        <v>Excelsa</v>
      </c>
      <c r="O992" t="str">
        <f t="shared" si="47"/>
        <v>Dark</v>
      </c>
      <c r="P992" t="str">
        <f>_xlfn.XLOOKUP(C992,customers!$A$1:$A$1001,customers!$I$1:$I$1001,0)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IF(_xlfn.XLOOKUP(C993,customers!$A$1:$A$1001,customers!$C$1:$C$1001,)=0,"",_xlfn.XLOOKUP(C993,customers!$A$1:$A$1001,customers!$C$1:$C$1001,))</f>
        <v/>
      </c>
      <c r="H993" s="2" t="str" cm="1">
        <f t="array" ref="H993">_xlfn.XLOOKUP(C993,customers!$A$1:$A$1001,customers!$G$1:$G$1001,customers!A992:H1965)</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7">
        <f t="shared" si="45"/>
        <v>15.54</v>
      </c>
      <c r="N993" t="str">
        <f t="shared" si="46"/>
        <v>Librica</v>
      </c>
      <c r="O993" t="str">
        <f t="shared" si="47"/>
        <v>Dark</v>
      </c>
      <c r="P993" t="str">
        <f>_xlfn.XLOOKUP(C993,customers!$A$1:$A$1001,customers!$I$1:$I$1001,0)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IF(_xlfn.XLOOKUP(C994,customers!$A$1:$A$1001,customers!$C$1:$C$1001,)=0,"",_xlfn.XLOOKUP(C994,customers!$A$1:$A$1001,customers!$C$1:$C$1001,))</f>
        <v/>
      </c>
      <c r="H994" s="2" t="str" cm="1">
        <f t="array" ref="H994">_xlfn.XLOOKUP(C994,customers!$A$1:$A$1001,customers!$G$1:$G$1001,customers!A993:H1966)</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7">
        <f t="shared" si="45"/>
        <v>109.36499999999999</v>
      </c>
      <c r="N994" t="str">
        <f t="shared" si="46"/>
        <v>Librica</v>
      </c>
      <c r="O994" t="str">
        <f t="shared" si="47"/>
        <v>Large</v>
      </c>
      <c r="P994" t="str">
        <f>_xlfn.XLOOKUP(C994,customers!$A$1:$A$1001,customers!$I$1:$I$1001,0)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IF(_xlfn.XLOOKUP(C995,customers!$A$1:$A$1001,customers!$C$1:$C$1001,)=0,"",_xlfn.XLOOKUP(C995,customers!$A$1:$A$1001,customers!$C$1:$C$1001,))</f>
        <v/>
      </c>
      <c r="H995" s="2" t="str" cm="1">
        <f t="array" ref="H995">_xlfn.XLOOKUP(C995,customers!$A$1:$A$1001,customers!$G$1:$G$1001,customers!A994:H1967)</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7">
        <f t="shared" si="45"/>
        <v>77.699999999999989</v>
      </c>
      <c r="N995" t="str">
        <f t="shared" si="46"/>
        <v>Arabic</v>
      </c>
      <c r="O995" t="str">
        <f t="shared" si="47"/>
        <v>Large</v>
      </c>
      <c r="P995" t="str">
        <f>_xlfn.XLOOKUP(C995,customers!$A$1:$A$1001,customers!$I$1:$I$1001,0)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IF(_xlfn.XLOOKUP(C996,customers!$A$1:$A$1001,customers!$C$1:$C$1001,)=0,"",_xlfn.XLOOKUP(C996,customers!$A$1:$A$1001,customers!$C$1:$C$1001,))</f>
        <v/>
      </c>
      <c r="H996" s="2" t="str" cm="1">
        <f t="array" ref="H996">_xlfn.XLOOKUP(C996,customers!$A$1:$A$1001,customers!$G$1:$G$1001,customers!A995:H1968)</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7">
        <f t="shared" si="45"/>
        <v>8.9550000000000001</v>
      </c>
      <c r="N996" t="str">
        <f t="shared" si="46"/>
        <v>Arabic</v>
      </c>
      <c r="O996" t="str">
        <f t="shared" si="47"/>
        <v>Dark</v>
      </c>
      <c r="P996" t="str">
        <f>_xlfn.XLOOKUP(C996,customers!$A$1:$A$1001,customers!$I$1:$I$1001,0)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IF(_xlfn.XLOOKUP(C997,customers!$A$1:$A$1001,customers!$C$1:$C$1001,)=0,"",_xlfn.XLOOKUP(C997,customers!$A$1:$A$1001,customers!$C$1:$C$1001,))</f>
        <v>jtewelsonrn@samsung.com</v>
      </c>
      <c r="H997" s="2" t="str" cm="1">
        <f t="array" ref="H997">_xlfn.XLOOKUP(C997,customers!$A$1:$A$1001,customers!$G$1:$G$1001,customers!A996:H1969)</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7">
        <f t="shared" si="45"/>
        <v>27.484999999999996</v>
      </c>
      <c r="N997" t="str">
        <f t="shared" si="46"/>
        <v>Robusta</v>
      </c>
      <c r="O997" t="str">
        <f t="shared" si="47"/>
        <v>Large</v>
      </c>
      <c r="P997" t="str">
        <f>_xlfn.XLOOKUP(C997,customers!$A$1:$A$1001,customers!$I$1:$I$1001,0)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IF(_xlfn.XLOOKUP(C998,customers!$A$1:$A$1001,customers!$C$1:$C$1001,)=0,"",_xlfn.XLOOKUP(C998,customers!$A$1:$A$1001,customers!$C$1:$C$1001,))</f>
        <v/>
      </c>
      <c r="H998" s="2" t="str" cm="1">
        <f t="array" ref="H998">_xlfn.XLOOKUP(C998,customers!$A$1:$A$1001,customers!$G$1:$G$1001,customers!A997:H1970)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7">
        <f t="shared" si="45"/>
        <v>29.849999999999998</v>
      </c>
      <c r="N998" t="str">
        <f t="shared" si="46"/>
        <v>Robusta</v>
      </c>
      <c r="O998" t="str">
        <f t="shared" si="47"/>
        <v>Medium</v>
      </c>
      <c r="P998" t="str">
        <f>_xlfn.XLOOKUP(C998,customers!$A$1:$A$1001,customers!$I$1:$I$1001,0)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IF(_xlfn.XLOOKUP(C999,customers!$A$1:$A$1001,customers!$C$1:$C$1001,)=0,"",_xlfn.XLOOKUP(C999,customers!$A$1:$A$1001,customers!$C$1:$C$1001,))</f>
        <v/>
      </c>
      <c r="H999" s="2" t="str" cm="1">
        <f t="array" ref="H999">_xlfn.XLOOKUP(C999,customers!$A$1:$A$1001,customers!$G$1:$G$1001,customers!A998:H1971)</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7">
        <f t="shared" si="45"/>
        <v>27</v>
      </c>
      <c r="N999" t="str">
        <f t="shared" si="46"/>
        <v>Arabic</v>
      </c>
      <c r="O999" t="str">
        <f t="shared" si="47"/>
        <v>Medium</v>
      </c>
      <c r="P999" t="str">
        <f>_xlfn.XLOOKUP(C999,customers!$A$1:$A$1001,customers!$I$1:$I$1001,0)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IF(_xlfn.XLOOKUP(C1000,customers!$A$1:$A$1001,customers!$C$1:$C$1001,)=0,"",_xlfn.XLOOKUP(C1000,customers!$A$1:$A$1001,customers!$C$1:$C$1001,))</f>
        <v>njennyrq@bigcartel.com</v>
      </c>
      <c r="H1000" s="2" t="str" cm="1">
        <f t="array" ref="H1000">_xlfn.XLOOKUP(C1000,customers!$A$1:$A$1001,customers!$G$1:$G$1001,customers!A999:H1972)</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7">
        <f t="shared" si="45"/>
        <v>9.9499999999999993</v>
      </c>
      <c r="N1000" t="str">
        <f t="shared" si="46"/>
        <v>Arabic</v>
      </c>
      <c r="O1000" t="str">
        <f t="shared" si="47"/>
        <v>Dark</v>
      </c>
      <c r="P1000" t="str">
        <f>_xlfn.XLOOKUP(C1000,customers!$A$1:$A$1001,customers!$I$1:$I$1001,0)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IF(_xlfn.XLOOKUP(C1001,customers!$A$1:$A$1001,customers!$C$1:$C$1001,)=0,"",_xlfn.XLOOKUP(C1001,customers!$A$1:$A$1001,customers!$C$1:$C$1001,))</f>
        <v/>
      </c>
      <c r="H1001" s="2" t="str" cm="1">
        <f t="array" ref="H1001">_xlfn.XLOOKUP(C1001,customers!$A$1:$A$1001,customers!$G$1:$G$1001,customers!A1000:H1973)</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7">
        <f t="shared" si="45"/>
        <v>12.375</v>
      </c>
      <c r="N1001" t="str">
        <f t="shared" si="46"/>
        <v>Excelsa</v>
      </c>
      <c r="O1001" t="str">
        <f t="shared" si="47"/>
        <v>Medium</v>
      </c>
      <c r="P1001" t="str">
        <f>_xlfn.XLOOKUP(C1001,customers!$A$1:$A$1001,customers!$I$1:$I$1001,0)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4"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BarChart</vt:lpstr>
      <vt:lpstr>Top 5</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sayoda</cp:lastModifiedBy>
  <cp:revision/>
  <dcterms:created xsi:type="dcterms:W3CDTF">2022-11-26T09:51:45Z</dcterms:created>
  <dcterms:modified xsi:type="dcterms:W3CDTF">2026-03-23T18:39:15Z</dcterms:modified>
  <cp:category/>
  <cp:contentStatus/>
</cp:coreProperties>
</file>